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URACION_LISTAS" state="visible" r:id="rId4"/>
    <sheet sheetId="2" name="GESTION_BANCA" state="visible" r:id="rId5"/>
    <sheet sheetId="3" name="CALCULADORA" state="visible" r:id="rId6"/>
    <sheet sheetId="4" name="REGISTRO_OPERACIONES" state="visible" r:id="rId7"/>
    <sheet sheetId="5" name="DASHBOARD" state="visible" r:id="rId8"/>
    <sheet sheetId="6" name="CONTROL_PERIODOS" state="visible" r:id="rId9"/>
    <sheet sheetId="7" name="ESTADISTICAS_AVANZADAS" state="visible" r:id="rId10"/>
    <sheet sheetId="8" name="CONTROL_DISCIPLINA" state="visible" r:id="rId11"/>
  </sheets>
  <calcPr calcId="171027"/>
</workbook>
</file>

<file path=xl/sharedStrings.xml><?xml version="1.0" encoding="utf-8"?>
<sst xmlns="http://schemas.openxmlformats.org/spreadsheetml/2006/main" count="390" uniqueCount="327">
  <si>
    <t>Estados</t>
  </si>
  <si>
    <t>Categorías</t>
  </si>
  <si>
    <t>Tipos Operación</t>
  </si>
  <si>
    <t>Mercados</t>
  </si>
  <si>
    <t>Perfiles Riesgo</t>
  </si>
  <si>
    <t>Ganada</t>
  </si>
  <si>
    <t>Fútbol</t>
  </si>
  <si>
    <t>Pre-partido</t>
  </si>
  <si>
    <t>Sin Empate (FT)</t>
  </si>
  <si>
    <t>Conservador (1-2%)</t>
  </si>
  <si>
    <t>Perdida</t>
  </si>
  <si>
    <t>Baloncesto</t>
  </si>
  <si>
    <t>En vivo (Live)</t>
  </si>
  <si>
    <t>Menos de 3.5 Goles</t>
  </si>
  <si>
    <t>Moderado (2-4%)</t>
  </si>
  <si>
    <t>Pendiente</t>
  </si>
  <si>
    <t>Tenis</t>
  </si>
  <si>
    <t>Trading Cuotas</t>
  </si>
  <si>
    <t>Sin Empate (HT)</t>
  </si>
  <si>
    <t>Personalizado</t>
  </si>
  <si>
    <t>Cancelada</t>
  </si>
  <si>
    <t>Financiero/Forex</t>
  </si>
  <si>
    <t>Escalera / Valor</t>
  </si>
  <si>
    <t>Sin BTTS + &gt;2.5</t>
  </si>
  <si>
    <t/>
  </si>
  <si>
    <t>Reembolsada</t>
  </si>
  <si>
    <t>Otros Deportes</t>
  </si>
  <si>
    <t>Arbitraje</t>
  </si>
  <si>
    <t>Sin BTTS 1er Tiempo</t>
  </si>
  <si>
    <t>GESTIÓN DE BANCA Y CONTROL DE RIESGO</t>
  </si>
  <si>
    <t>1. PARÁMETROS CONFIGURABLES</t>
  </si>
  <si>
    <t>2. MONITOREO Y ALERTAS EN TIEMPO REAL</t>
  </si>
  <si>
    <t>Capital Inicial ($)</t>
  </si>
  <si>
    <t>Capital Actual ($)</t>
  </si>
  <si>
    <t>Capital Mínimo de Seguridad (Stop Bank)</t>
  </si>
  <si>
    <t>Estado de Capital</t>
  </si>
  <si>
    <t>% Máximo Permitido por Operación</t>
  </si>
  <si>
    <t>Alerta % Stake Máximo</t>
  </si>
  <si>
    <t>% Recomendado por Operación</t>
  </si>
  <si>
    <t>Exposición Simultánea Actual</t>
  </si>
  <si>
    <t>% Máximo Exposición Simultánea</t>
  </si>
  <si>
    <t>Alerta de Exposición</t>
  </si>
  <si>
    <t>Límite de Pérdida Diaria ($)</t>
  </si>
  <si>
    <t>Resultado Diario Actual</t>
  </si>
  <si>
    <t>Límite de Pérdida Semanal ($)</t>
  </si>
  <si>
    <t>Resultado Semanal Actual</t>
  </si>
  <si>
    <t>Límite de Pérdida Mensual ($)</t>
  </si>
  <si>
    <t>Resultado Mensual Actual</t>
  </si>
  <si>
    <t>Objetivo de Crecimiento Mensual</t>
  </si>
  <si>
    <t>Progreso hacia Objetivo</t>
  </si>
  <si>
    <t>Drawdown Máximo de Tolerancia</t>
  </si>
  <si>
    <t>Alerta Drawdown</t>
  </si>
  <si>
    <t>CALCULADORA DE GESTIÓN DE RIESGO Y STAKE</t>
  </si>
  <si>
    <t>Capital Disponible Actual ($)</t>
  </si>
  <si>
    <t>Capital real disponible no comprometido</t>
  </si>
  <si>
    <t>Perfil de Riesgo Seleccionado</t>
  </si>
  <si>
    <t>Configurar en lista desplegable</t>
  </si>
  <si>
    <t>Porcentaje de Riesgo a Utilizar (%)</t>
  </si>
  <si>
    <t>Porcentaje calculado del capital disponible</t>
  </si>
  <si>
    <t>Monto Sugerido a Operar (Stake)</t>
  </si>
  <si>
    <t>Monto exacto calculado sin martingala</t>
  </si>
  <si>
    <t>Cuota / Multiplicador de la Operación</t>
  </si>
  <si>
    <t>Cuota ofrecida por el mercado</t>
  </si>
  <si>
    <t>Retorno Potencial Bruto ($)</t>
  </si>
  <si>
    <t>Retorno total incluyendo el monto operado</t>
  </si>
  <si>
    <t>Ganancia Neta Potencial ($)</t>
  </si>
  <si>
    <t>Beneficio neto en caso de éxito</t>
  </si>
  <si>
    <t>Pérdida Máxima Asumida ($)</t>
  </si>
  <si>
    <t>Riesgo total limitado estrictamente al monto</t>
  </si>
  <si>
    <t>% del Capital Comprometido</t>
  </si>
  <si>
    <t>Proporción sobre la banca disponible</t>
  </si>
  <si>
    <t>Validación de Riesgo</t>
  </si>
  <si>
    <t>Control automático de cumplimiento</t>
  </si>
  <si>
    <t>REGISTRO DE OPERACIONES — CONTROL DE BANCA</t>
  </si>
  <si>
    <t>Control individual de operaciones financieras con cálculo automático de capital, ROI, riesgo y acumulación de resultados.</t>
  </si>
  <si>
    <t>ID</t>
  </si>
  <si>
    <t>Fecha</t>
  </si>
  <si>
    <t>Hora</t>
  </si>
  <si>
    <t>Categoría</t>
  </si>
  <si>
    <t>Descripción</t>
  </si>
  <si>
    <t>Tipo Operación</t>
  </si>
  <si>
    <t>Mercado / Segmento</t>
  </si>
  <si>
    <t>Estado</t>
  </si>
  <si>
    <t>Capital Antes ($)</t>
  </si>
  <si>
    <t>Monto Utilizado ($)</t>
  </si>
  <si>
    <t>% Cap. Utilizado</t>
  </si>
  <si>
    <t>Cuota / Mult.</t>
  </si>
  <si>
    <t>Retorno Potencial ($)</t>
  </si>
  <si>
    <t>Ganancia Potencial ($)</t>
  </si>
  <si>
    <t>Resultado Real ($)</t>
  </si>
  <si>
    <t>Capital Después ($)</t>
  </si>
  <si>
    <t>ROI Op. (%)</t>
  </si>
  <si>
    <t>Riesgo %</t>
  </si>
  <si>
    <t>Resultado Acumulado ($)</t>
  </si>
  <si>
    <t>Control Disciplina</t>
  </si>
  <si>
    <t>Observaciones</t>
  </si>
  <si>
    <t>OP-001</t>
  </si>
  <si>
    <t>2026-08-01</t>
  </si>
  <si>
    <t>15:30</t>
  </si>
  <si>
    <t>Real Madrid vs Sevilla</t>
  </si>
  <si>
    <t>Operación planificada según racha</t>
  </si>
  <si>
    <t>OP-002</t>
  </si>
  <si>
    <t>2026-08-02</t>
  </si>
  <si>
    <t>18:00</t>
  </si>
  <si>
    <t>Inter vs Monza</t>
  </si>
  <si>
    <t>Racha madura en Serie A</t>
  </si>
  <si>
    <t>OP-003</t>
  </si>
  <si>
    <t>2026-08-03</t>
  </si>
  <si>
    <t>20:45</t>
  </si>
  <si>
    <t>Sporting CP vs Braga</t>
  </si>
  <si>
    <t>Pérdida asumida bajo riesgo</t>
  </si>
  <si>
    <t>OP-004</t>
  </si>
  <si>
    <t>2026-08-04</t>
  </si>
  <si>
    <t>19:00</t>
  </si>
  <si>
    <t>Flamengo vs Palmeiras</t>
  </si>
  <si>
    <t>Sin martingala, stake constante</t>
  </si>
  <si>
    <t>OP-005</t>
  </si>
  <si>
    <t>2026-08-05</t>
  </si>
  <si>
    <t>17:15</t>
  </si>
  <si>
    <t>Arsenal vs Chelsea</t>
  </si>
  <si>
    <t>Stake moderado 2.5%</t>
  </si>
  <si>
    <t>OP-006</t>
  </si>
  <si>
    <t>2026-08-06</t>
  </si>
  <si>
    <t>21:00</t>
  </si>
  <si>
    <t>Boca Juniors vs River Plate</t>
  </si>
  <si>
    <t>Control de límite diario</t>
  </si>
  <si>
    <t>OP-007</t>
  </si>
  <si>
    <t>2026-08-07</t>
  </si>
  <si>
    <t>16:00</t>
  </si>
  <si>
    <t>Bayern vs Dortmund</t>
  </si>
  <si>
    <t>Ejecución disciplinada</t>
  </si>
  <si>
    <t>OP-008</t>
  </si>
  <si>
    <t>2026-08-08</t>
  </si>
  <si>
    <t>18:30</t>
  </si>
  <si>
    <t>PSG vs Marseille</t>
  </si>
  <si>
    <t>Señal de oportunidad verde</t>
  </si>
  <si>
    <t>OP-009</t>
  </si>
  <si>
    <t>2026-08-09</t>
  </si>
  <si>
    <t>20:00</t>
  </si>
  <si>
    <t>Juventus vs Roma</t>
  </si>
  <si>
    <t>Operación en curso</t>
  </si>
  <si>
    <t>OP-010</t>
  </si>
  <si>
    <t>OP-011</t>
  </si>
  <si>
    <t>OP-012</t>
  </si>
  <si>
    <t>OP-013</t>
  </si>
  <si>
    <t>OP-014</t>
  </si>
  <si>
    <t>OP-015</t>
  </si>
  <si>
    <t>OP-016</t>
  </si>
  <si>
    <t>OP-017</t>
  </si>
  <si>
    <t>OP-018</t>
  </si>
  <si>
    <t>OP-019</t>
  </si>
  <si>
    <t>OP-020</t>
  </si>
  <si>
    <t>OP-021</t>
  </si>
  <si>
    <t>OP-022</t>
  </si>
  <si>
    <t>OP-023</t>
  </si>
  <si>
    <t>OP-024</t>
  </si>
  <si>
    <t>OP-025</t>
  </si>
  <si>
    <t>OP-026</t>
  </si>
  <si>
    <t>OP-027</t>
  </si>
  <si>
    <t>OP-028</t>
  </si>
  <si>
    <t>OP-029</t>
  </si>
  <si>
    <t>OP-030</t>
  </si>
  <si>
    <t>OP-031</t>
  </si>
  <si>
    <t>OP-032</t>
  </si>
  <si>
    <t>OP-033</t>
  </si>
  <si>
    <t>OP-034</t>
  </si>
  <si>
    <t>OP-035</t>
  </si>
  <si>
    <t>OP-036</t>
  </si>
  <si>
    <t>OP-037</t>
  </si>
  <si>
    <t>OP-038</t>
  </si>
  <si>
    <t>OP-039</t>
  </si>
  <si>
    <t>OP-040</t>
  </si>
  <si>
    <t>OP-041</t>
  </si>
  <si>
    <t>OP-042</t>
  </si>
  <si>
    <t>OP-043</t>
  </si>
  <si>
    <t>OP-044</t>
  </si>
  <si>
    <t>OP-045</t>
  </si>
  <si>
    <t>OP-046</t>
  </si>
  <si>
    <t>OP-047</t>
  </si>
  <si>
    <t>OP-048</t>
  </si>
  <si>
    <t>OP-049</t>
  </si>
  <si>
    <t>OP-050</t>
  </si>
  <si>
    <t>OP-051</t>
  </si>
  <si>
    <t>OP-052</t>
  </si>
  <si>
    <t>OP-053</t>
  </si>
  <si>
    <t>OP-054</t>
  </si>
  <si>
    <t>OP-055</t>
  </si>
  <si>
    <t>OP-056</t>
  </si>
  <si>
    <t>OP-057</t>
  </si>
  <si>
    <t>OP-058</t>
  </si>
  <si>
    <t>OP-059</t>
  </si>
  <si>
    <t>OP-060</t>
  </si>
  <si>
    <t>OP-061</t>
  </si>
  <si>
    <t>OP-062</t>
  </si>
  <si>
    <t>OP-063</t>
  </si>
  <si>
    <t>OP-064</t>
  </si>
  <si>
    <t>OP-065</t>
  </si>
  <si>
    <t>OP-066</t>
  </si>
  <si>
    <t>OP-067</t>
  </si>
  <si>
    <t>OP-068</t>
  </si>
  <si>
    <t>OP-069</t>
  </si>
  <si>
    <t>OP-070</t>
  </si>
  <si>
    <t>OP-071</t>
  </si>
  <si>
    <t>OP-072</t>
  </si>
  <si>
    <t>OP-073</t>
  </si>
  <si>
    <t>OP-074</t>
  </si>
  <si>
    <t>OP-075</t>
  </si>
  <si>
    <t>OP-076</t>
  </si>
  <si>
    <t>OP-077</t>
  </si>
  <si>
    <t>OP-078</t>
  </si>
  <si>
    <t>OP-079</t>
  </si>
  <si>
    <t>OP-080</t>
  </si>
  <si>
    <t>OP-081</t>
  </si>
  <si>
    <t>OP-082</t>
  </si>
  <si>
    <t>OP-083</t>
  </si>
  <si>
    <t>OP-084</t>
  </si>
  <si>
    <t>OP-085</t>
  </si>
  <si>
    <t>OP-086</t>
  </si>
  <si>
    <t>OP-087</t>
  </si>
  <si>
    <t>OP-088</t>
  </si>
  <si>
    <t>OP-089</t>
  </si>
  <si>
    <t>OP-090</t>
  </si>
  <si>
    <t>OP-091</t>
  </si>
  <si>
    <t>OP-092</t>
  </si>
  <si>
    <t>OP-093</t>
  </si>
  <si>
    <t>OP-094</t>
  </si>
  <si>
    <t>OP-095</t>
  </si>
  <si>
    <t>OP-096</t>
  </si>
  <si>
    <t>OP-097</t>
  </si>
  <si>
    <t>OP-098</t>
  </si>
  <si>
    <t>OP-099</t>
  </si>
  <si>
    <t>OP-100</t>
  </si>
  <si>
    <t>PANEL PRINCIPAL — DASHBOARD EJECUTIVO DE OPERACIONES</t>
  </si>
  <si>
    <t>1. RESUMEN DE CAPITAL Y RETORNO</t>
  </si>
  <si>
    <t>2. MÉTRICAS DE EFICIENCIA OPERATIVA</t>
  </si>
  <si>
    <t>Capital Inicial</t>
  </si>
  <si>
    <t>Número Total de Operaciones</t>
  </si>
  <si>
    <t>Capital Actual de la Banca</t>
  </si>
  <si>
    <t>Operaciones Positivas (Ganadas)</t>
  </si>
  <si>
    <t>Resultado Neto Acumulado</t>
  </si>
  <si>
    <t>Operaciones Negativas (Perdidas)</t>
  </si>
  <si>
    <t>Ganancia Total Acumulada</t>
  </si>
  <si>
    <t>Operaciones Pendientes</t>
  </si>
  <si>
    <t>Pérdida Total Acumulada</t>
  </si>
  <si>
    <t>Tasa de Acierto / Winrate (%)</t>
  </si>
  <si>
    <t>Retorno de Inversión (ROI Global %)</t>
  </si>
  <si>
    <t>Promedio de Cuota / Multiplicador</t>
  </si>
  <si>
    <t>Crecimiento de la Banca (% Yield)</t>
  </si>
  <si>
    <t>Promedio de Monto Utilizado ($)</t>
  </si>
  <si>
    <t>3. GESTIÓN DE RIESGO Y CONTROL DE DRAWDOWN</t>
  </si>
  <si>
    <t>4. DISPONIBILIDAD Y EXPOSICIÓN DE CAPITAL</t>
  </si>
  <si>
    <t>Mayor Ganancia Individual ($)</t>
  </si>
  <si>
    <t>Capital Comprometido (En Juego)</t>
  </si>
  <si>
    <t>Mayor Pérdida Individual ($)</t>
  </si>
  <si>
    <t>Capital Libre y Disponible ($)</t>
  </si>
  <si>
    <t>Drawdown Máximo Histórico (%)</t>
  </si>
  <si>
    <t>Exposición de Capital Actual (%)</t>
  </si>
  <si>
    <t>Profit Factor (Ganancia / Pérdida)</t>
  </si>
  <si>
    <t>Límite de Exposición Permitido (%)</t>
  </si>
  <si>
    <t>Expectativa Matemática por Operación ($)</t>
  </si>
  <si>
    <t>Estado General de la Banca</t>
  </si>
  <si>
    <t>Riesgo Promedio por Operación (%)</t>
  </si>
  <si>
    <t>Operaciones con Incumplimiento de Riesgo</t>
  </si>
  <si>
    <t>CONTROL Y ANÁLISIS DE RESULTADOS POR PERÍODOS</t>
  </si>
  <si>
    <t>1. CONTROL DIARIO (ÚLTIMOS 5 DÍAS)</t>
  </si>
  <si>
    <t>Período</t>
  </si>
  <si>
    <t>Monto Operado ($)</t>
  </si>
  <si>
    <t>Ganado ($)</t>
  </si>
  <si>
    <t>Perdido ($)</t>
  </si>
  <si>
    <t>Resultado Neto ($)</t>
  </si>
  <si>
    <t>ROI (%)</t>
  </si>
  <si>
    <t>Operaciones</t>
  </si>
  <si>
    <t>Tasa Acierto (%)</t>
  </si>
  <si>
    <t>Cuota Promedio</t>
  </si>
  <si>
    <t>2. CONTROL SEMANAL (SEMANAS DEL MES)</t>
  </si>
  <si>
    <t>Semana 31 (Ago 01 - 07)</t>
  </si>
  <si>
    <t>Semana 32 (Ago 08 - 14)</t>
  </si>
  <si>
    <t>Semana 33 (Ago 15 - 21)</t>
  </si>
  <si>
    <t>Semana 34 (Ago 22 - 28)</t>
  </si>
  <si>
    <t>3. CONTROL MENSUAL (HISTÓRICO 2026)</t>
  </si>
  <si>
    <t>Enero 2026</t>
  </si>
  <si>
    <t>Febrero 2026</t>
  </si>
  <si>
    <t>Marzo 2026</t>
  </si>
  <si>
    <t>Agosto 2026 (Actual)</t>
  </si>
  <si>
    <t>ANÁLISIS ESTADÍSTICO Y MODELO MATEMÁTICO</t>
  </si>
  <si>
    <t>Tasa de Éxito Global (Winrate)</t>
  </si>
  <si>
    <t>Porcentaje de operaciones ganadas</t>
  </si>
  <si>
    <t>Tasa de Operaciones Negativas (Lossrate)</t>
  </si>
  <si>
    <t>Porcentaje de operaciones perdidas</t>
  </si>
  <si>
    <t>Cuota Media Ponderada</t>
  </si>
  <si>
    <t>Promedio de multiplicadores operados</t>
  </si>
  <si>
    <t>Resultado Promedio por Operación ($)</t>
  </si>
  <si>
    <t>Beneficio neto medio por cada trade</t>
  </si>
  <si>
    <t>Ganancia Promedio de Operaciones Ganadas ($)</t>
  </si>
  <si>
    <t>Monto medio ganado en aciertos</t>
  </si>
  <si>
    <t>Pérdida Promedio de Operaciones Perdidas ($)</t>
  </si>
  <si>
    <t>Monto medio perdido en fallos</t>
  </si>
  <si>
    <t>Relación Ganancia / Pérdida (Payoff Ratio)</t>
  </si>
  <si>
    <t>Proporción de beneficio medio vs pérdida media</t>
  </si>
  <si>
    <t>Racha Positiva Máxima Consecutiva</t>
  </si>
  <si>
    <t>Mayor secuencia ininterrumpida de aciertos</t>
  </si>
  <si>
    <t>Racha Negativa Máxima Consecutiva</t>
  </si>
  <si>
    <t>Mayor secuencia ininterrumpida de fallos</t>
  </si>
  <si>
    <t>Mayor caída pico-a-valle registrada</t>
  </si>
  <si>
    <t>Factor de Recuperación (Recovery Factor)</t>
  </si>
  <si>
    <t>Capacidad de la banca para superar drawdowns</t>
  </si>
  <si>
    <t>EV = (Win% * Ganancia Media) - (Loss% * Pérdida Media)</t>
  </si>
  <si>
    <t>Desviación Típica de Resultados ($)</t>
  </si>
  <si>
    <t>Medida de volatilidad de los rendimientos</t>
  </si>
  <si>
    <t>AUDITORÍA DE DISCIPLINA Y CUMPLIMIENTO DEL PLAN</t>
  </si>
  <si>
    <t>Operaciones Totales Auditadas</t>
  </si>
  <si>
    <t>Total de operaciones registradas</t>
  </si>
  <si>
    <t>Operaciones con Stake Correcto (🟢)</t>
  </si>
  <si>
    <t>Operaciones respetando el porcentaje recomendado</t>
  </si>
  <si>
    <t>Operaciones en Zona de Precaución (🟡)</t>
  </si>
  <si>
    <t>Operaciones entre el recomendado y el máximo</t>
  </si>
  <si>
    <t>Operaciones Fuera de Límite / Exceso (🔴)</t>
  </si>
  <si>
    <t>Operaciones que violaron el % máximo permitido</t>
  </si>
  <si>
    <t>Índice de Disciplina Operativa (%)</t>
  </si>
  <si>
    <t>Porcentaje de cumplimiento estricto del plan</t>
  </si>
  <si>
    <t>Violaciones de Límite Diario Registradas</t>
  </si>
  <si>
    <t>Días donde se superó el límite de pérdida</t>
  </si>
  <si>
    <t>Detección de Aumento Tras Pérdida (Revenge)</t>
  </si>
  <si>
    <t>Ninguno detectado (Cumple)</t>
  </si>
  <si>
    <t>Auditoría contra martingala emocional</t>
  </si>
  <si>
    <t>Dictamen de Auditoría</t>
  </si>
  <si>
    <t>Evaluación final del control de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</si>
</sst>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$#,##0.00;($#,##0.00);&quot;$0.00&quot;"/>
  </numFmts>
  <fonts count="1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color rgb="FFFFFF"/>
      <sz val="16"/>
      <name val="Calibri"/>
    </font>
    <font>
      <b/>
      <color rgb="1E3A8A"/>
      <sz val="12"/>
      <name val="Calibri"/>
    </font>
    <font>
      <sz val="10"/>
      <name val="Calibri"/>
    </font>
    <font>
      <b/>
      <sz val="10"/>
      <name val="Calibri"/>
    </font>
    <font>
      <b/>
      <sz val="11"/>
      <name val="Calibri"/>
    </font>
    <font>
      <i/>
      <color rgb="64748B"/>
      <sz val="9"/>
      <name val="Calibri"/>
    </font>
    <font>
      <b/>
      <color rgb="FFFFFF"/>
      <sz val="15"/>
      <name val="Calibri"/>
    </font>
    <font>
      <b/>
      <color rgb="166534"/>
    </font>
    <font>
      <b/>
      <color rgb="991B1B"/>
    </font>
    <font>
      <b/>
      <color rgb="854D0E"/>
    </font>
  </fonts>
  <fills count="9">
    <fill>
      <patternFill patternType="none"/>
    </fill>
    <fill>
      <patternFill patternType="gray125"/>
    </fill>
    <fill>
      <patternFill patternType="solid">
        <fgColor rgb="334155"/>
      </patternFill>
    </fill>
    <fill>
      <patternFill patternType="solid">
        <fgColor rgb="1E293B"/>
      </patternFill>
    </fill>
    <fill>
      <patternFill patternType="solid">
        <fgColor rgb="DBEAFE"/>
      </patternFill>
    </fill>
    <fill>
      <patternFill patternType="solid">
        <fgColor rgb="F8FAFC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FEF9C3"/>
      </patternFill>
    </fill>
  </fills>
  <borders count="3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/>
    <xf numFmtId="164" fontId="5" fillId="0" borderId="2" xfId="0" applyNumberFormat="1" applyFont="1" applyBorder="1"/>
    <xf numFmtId="49" fontId="5" fillId="0" borderId="2" xfId="0" applyNumberFormat="1" applyFont="1" applyBorder="1"/>
    <xf numFmtId="10" fontId="5" fillId="0" borderId="2" xfId="0" applyNumberFormat="1" applyFont="1" applyBorder="1"/>
    <xf numFmtId="0" fontId="0" fillId="5" borderId="2" xfId="0" applyFill="1" applyBorder="1"/>
    <xf numFmtId="164" fontId="6" fillId="0" borderId="2" xfId="0" applyNumberFormat="1" applyFont="1" applyBorder="1"/>
    <xf numFmtId="0" fontId="7" fillId="0" borderId="2" xfId="0" applyFont="1" applyBorder="1"/>
    <xf numFmtId="49" fontId="6" fillId="0" borderId="2" xfId="0" applyNumberFormat="1" applyFont="1" applyBorder="1"/>
    <xf numFmtId="10" fontId="6" fillId="0" borderId="2" xfId="0" applyNumberFormat="1" applyFont="1" applyBorder="1"/>
    <xf numFmtId="2" fontId="6" fillId="0" borderId="2" xfId="0" applyNumberFormat="1" applyFont="1" applyBorder="1"/>
    <xf numFmtId="0" fontId="8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9" fillId="6" borderId="2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vertical="center"/>
    </xf>
    <xf numFmtId="10" fontId="4" fillId="0" borderId="2" xfId="0" applyNumberFormat="1" applyFont="1" applyBorder="1" applyAlignment="1">
      <alignment vertical="center"/>
    </xf>
    <xf numFmtId="2" fontId="4" fillId="0" borderId="2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0" fontId="10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3" fontId="6" fillId="0" borderId="2" xfId="0" applyNumberFormat="1" applyFont="1" applyBorder="1"/>
    <xf numFmtId="165" fontId="6" fillId="0" borderId="2" xfId="0" applyNumberFormat="1" applyFont="1" applyBorder="1"/>
    <xf numFmtId="0" fontId="4" fillId="0" borderId="2" xfId="0" applyFont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10" fontId="4" fillId="0" borderId="2" xfId="0" applyNumberFormat="1" applyFont="1" applyBorder="1"/>
    <xf numFmtId="3" fontId="4" fillId="0" borderId="2" xfId="0" applyNumberFormat="1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8" customWidth="1"/>
    <col min="2" max="3" width="22" customWidth="1"/>
    <col min="4" max="4" width="25" customWidth="1"/>
    <col min="5" max="5" width="2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3"/>
  <sheetViews>
    <sheetView workbookViewId="0" zoomScale="100" zoomScaleNormal="100"/>
  </sheetViews>
  <sheetFormatPr defaultRowHeight="15" outlineLevelRow="0" outlineLevelCol="0" x14ac:dyDescent="55"/>
  <cols>
    <col min="1" max="1" width="4" customWidth="1"/>
    <col min="2" max="2" width="35" customWidth="1"/>
    <col min="3" max="3" width="22" customWidth="1"/>
    <col min="4" max="4" width="35" customWidth="1"/>
    <col min="5" max="5" width="22" customWidth="1"/>
  </cols>
  <sheetData>
    <row r="2" ht="35" customHeight="1" spans="2:5" x14ac:dyDescent="0.25">
      <c r="B2" s="2" t="s">
        <v>29</v>
      </c>
      <c r="C2" s="2"/>
      <c r="D2" s="2"/>
      <c r="E2" s="2"/>
    </row>
    <row r="3" spans="2:5" x14ac:dyDescent="0.25">
      <c r="B3" s="3" t="s">
        <v>30</v>
      </c>
      <c r="C3" s="3"/>
      <c r="D3" s="3" t="s">
        <v>31</v>
      </c>
      <c r="E3" s="3"/>
    </row>
    <row r="4" spans="2:5" x14ac:dyDescent="0.25">
      <c r="B4" s="4" t="s">
        <v>32</v>
      </c>
      <c r="C4" s="5">
        <v>1000</v>
      </c>
      <c r="D4" s="4" t="s">
        <v>33</v>
      </c>
      <c r="E4" s="5">
        <f>DASHBOARD!C6</f>
      </c>
    </row>
    <row r="5" spans="2:5" x14ac:dyDescent="0.25">
      <c r="B5" s="4" t="s">
        <v>34</v>
      </c>
      <c r="C5" s="5">
        <v>700</v>
      </c>
      <c r="D5" s="4" t="s">
        <v>35</v>
      </c>
      <c r="E5" s="6">
        <f>IF(DASHBOARD!C6&lt;C5, "🔴 ALERTA: Capital en Nivel Crítico", "🟢 Capital Seguro")</f>
      </c>
    </row>
    <row r="6" spans="2:5" x14ac:dyDescent="0.25">
      <c r="B6" s="4" t="s">
        <v>36</v>
      </c>
      <c r="C6" s="7">
        <v>0.05</v>
      </c>
      <c r="D6" s="4" t="s">
        <v>37</v>
      </c>
      <c r="E6" s="6">
        <f>IF(DASHBOARD!C19&gt;C6, "🔴 Stake Promedio Excesivo", "🟢 Stake Bajo Control")</f>
      </c>
    </row>
    <row r="7" spans="2:5" x14ac:dyDescent="0.25">
      <c r="B7" s="4" t="s">
        <v>38</v>
      </c>
      <c r="C7" s="7">
        <v>0.02</v>
      </c>
      <c r="D7" s="4" t="s">
        <v>39</v>
      </c>
      <c r="E7" s="7">
        <f>DASHBOARD!F16</f>
      </c>
    </row>
    <row r="8" spans="2:5" x14ac:dyDescent="0.25">
      <c r="B8" s="4" t="s">
        <v>40</v>
      </c>
      <c r="C8" s="7">
        <v>0.15</v>
      </c>
      <c r="D8" s="4" t="s">
        <v>41</v>
      </c>
      <c r="E8" s="6">
        <f>IF(DASHBOARD!F16&gt;C8, "🔴 ALERTA: Exceso de Exposición", "🟢 Exposición Segura")</f>
      </c>
    </row>
    <row r="9" spans="2:5" x14ac:dyDescent="0.25">
      <c r="B9" s="4" t="s">
        <v>42</v>
      </c>
      <c r="C9" s="5">
        <v>-50</v>
      </c>
      <c r="D9" s="4" t="s">
        <v>43</v>
      </c>
      <c r="E9" s="5">
        <f>CONTROL_PERIODOS!F6</f>
      </c>
    </row>
    <row r="10" spans="2:5" x14ac:dyDescent="0.25">
      <c r="B10" s="4" t="s">
        <v>44</v>
      </c>
      <c r="C10" s="5">
        <v>-150</v>
      </c>
      <c r="D10" s="4" t="s">
        <v>45</v>
      </c>
      <c r="E10" s="5">
        <f>CONTROL_PERIODOS!F15</f>
      </c>
    </row>
    <row r="11" spans="2:5" x14ac:dyDescent="0.25">
      <c r="B11" s="4" t="s">
        <v>46</v>
      </c>
      <c r="C11" s="5">
        <v>-300</v>
      </c>
      <c r="D11" s="4" t="s">
        <v>47</v>
      </c>
      <c r="E11" s="5">
        <f>CONTROL_PERIODOS!F26</f>
      </c>
    </row>
    <row r="12" spans="2:5" x14ac:dyDescent="0.25">
      <c r="B12" s="4" t="s">
        <v>48</v>
      </c>
      <c r="C12" s="7">
        <v>0.15</v>
      </c>
      <c r="D12" s="4" t="s">
        <v>49</v>
      </c>
      <c r="E12" s="7">
        <f>IF(C4&gt;0, DASHBOARD!C7/C4, 0)</f>
      </c>
    </row>
    <row r="13" spans="2:5" x14ac:dyDescent="0.25">
      <c r="B13" s="4" t="s">
        <v>50</v>
      </c>
      <c r="C13" s="7">
        <v>0.2</v>
      </c>
      <c r="D13" s="4" t="s">
        <v>51</v>
      </c>
      <c r="E13" s="6">
        <f>IF(DASHBOARD!C16&gt;C13, "🔴 ALERTA: Drawdown Crítico", "🟢 Drawdown Controlado")</f>
      </c>
    </row>
  </sheetData>
  <mergeCells count="3">
    <mergeCell ref="B2:E2"/>
    <mergeCell ref="B3:C3"/>
    <mergeCell ref="D3:E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workbookViewId="0" zoomScale="100" zoomScaleNormal="100"/>
  </sheetViews>
  <sheetFormatPr defaultRowHeight="15" outlineLevelRow="0" outlineLevelCol="0" x14ac:dyDescent="55"/>
  <cols>
    <col min="1" max="1" width="4" customWidth="1"/>
    <col min="2" max="2" width="35" customWidth="1"/>
    <col min="3" max="3" width="24" customWidth="1"/>
    <col min="4" max="4" width="45" customWidth="1"/>
  </cols>
  <sheetData>
    <row r="2" ht="35" customHeight="1" spans="2:4" x14ac:dyDescent="0.25">
      <c r="B2" s="2" t="s">
        <v>52</v>
      </c>
      <c r="C2" s="2"/>
      <c r="D2" s="2"/>
    </row>
    <row r="4" spans="2:4" x14ac:dyDescent="0.25">
      <c r="B4" s="8" t="s">
        <v>53</v>
      </c>
      <c r="C4" s="9">
        <f>DASHBOARD!F15</f>
      </c>
      <c r="D4" s="10" t="s">
        <v>54</v>
      </c>
    </row>
    <row r="5" spans="2:4" x14ac:dyDescent="0.25">
      <c r="B5" s="8" t="s">
        <v>55</v>
      </c>
      <c r="C5" s="11" t="s">
        <v>9</v>
      </c>
      <c r="D5" s="10" t="s">
        <v>56</v>
      </c>
    </row>
    <row r="6" spans="2:4" x14ac:dyDescent="0.25">
      <c r="B6" s="8" t="s">
        <v>57</v>
      </c>
      <c r="C6" s="12">
        <v>0.02</v>
      </c>
      <c r="D6" s="10" t="s">
        <v>58</v>
      </c>
    </row>
    <row r="7" spans="2:4" x14ac:dyDescent="0.25">
      <c r="B7" s="8" t="s">
        <v>59</v>
      </c>
      <c r="C7" s="9">
        <f>C4*C6</f>
      </c>
      <c r="D7" s="10" t="s">
        <v>60</v>
      </c>
    </row>
    <row r="8" spans="2:4" x14ac:dyDescent="0.25">
      <c r="B8" s="8" t="s">
        <v>61</v>
      </c>
      <c r="C8" s="13">
        <v>1.95</v>
      </c>
      <c r="D8" s="10" t="s">
        <v>62</v>
      </c>
    </row>
    <row r="9" spans="2:4" x14ac:dyDescent="0.25">
      <c r="B9" s="8" t="s">
        <v>63</v>
      </c>
      <c r="C9" s="9">
        <f>C7*C8</f>
      </c>
      <c r="D9" s="10" t="s">
        <v>64</v>
      </c>
    </row>
    <row r="10" spans="2:4" x14ac:dyDescent="0.25">
      <c r="B10" s="8" t="s">
        <v>65</v>
      </c>
      <c r="C10" s="9">
        <f>C9-C7</f>
      </c>
      <c r="D10" s="10" t="s">
        <v>66</v>
      </c>
    </row>
    <row r="11" spans="2:4" x14ac:dyDescent="0.25">
      <c r="B11" s="8" t="s">
        <v>67</v>
      </c>
      <c r="C11" s="9">
        <f>C7</f>
      </c>
      <c r="D11" s="10" t="s">
        <v>68</v>
      </c>
    </row>
    <row r="12" spans="2:4" x14ac:dyDescent="0.25">
      <c r="B12" s="8" t="s">
        <v>69</v>
      </c>
      <c r="C12" s="12">
        <f>IF(C4&gt;0, C7/C4, 0)</f>
      </c>
      <c r="D12" s="10" t="s">
        <v>70</v>
      </c>
    </row>
    <row r="13" spans="2:4" x14ac:dyDescent="0.25">
      <c r="B13" s="8" t="s">
        <v>71</v>
      </c>
      <c r="C13" s="11">
        <f>IF(C6&gt;GESTION_BANCA!C6, "🔴 EXCESO: Supera el % máximo permitido", IF(C6&gt;GESTION_BANCA!C7, "🟡 PRECAUCIÓN: Por encima de lo recomendado", "🟢 APROBADO: Gestión correcta"))</f>
      </c>
      <c r="D13" s="10" t="s">
        <v>72</v>
      </c>
    </row>
  </sheetData>
  <mergeCells count="1">
    <mergeCell ref="B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05"/>
  <sheetViews>
    <sheetView workbookViewId="0" zoomScale="100" zoomScaleNormal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4" max="4" width="16" customWidth="1"/>
    <col min="5" max="5" width="26" customWidth="1"/>
    <col min="6" max="6" width="16" customWidth="1"/>
    <col min="7" max="7" width="20" customWidth="1"/>
    <col min="8" max="8" width="14" customWidth="1"/>
    <col min="9" max="9" width="16" customWidth="1"/>
    <col min="10" max="10" width="18" customWidth="1"/>
    <col min="11" max="11" width="15" customWidth="1"/>
    <col min="12" max="12" width="13" customWidth="1"/>
    <col min="13" max="14" width="18" customWidth="1"/>
    <col min="15" max="15" width="16" customWidth="1"/>
    <col min="16" max="16" width="17" customWidth="1"/>
    <col min="17" max="17" width="13" customWidth="1"/>
    <col min="18" max="18" width="12" customWidth="1"/>
    <col min="19" max="19" width="22" customWidth="1"/>
    <col min="20" max="20" width="18" customWidth="1"/>
    <col min="21" max="21" width="25" customWidth="1"/>
  </cols>
  <sheetData>
    <row r="2" ht="30" customHeight="1" spans="1:21" x14ac:dyDescent="0.25">
      <c r="A2" s="14" t="s">
        <v>73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x14ac:dyDescent="0.25">
      <c r="A3" s="15" t="s">
        <v>74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5" ht="28" customHeight="1" spans="1:21" x14ac:dyDescent="0.25">
      <c r="A5" s="1" t="s">
        <v>75</v>
      </c>
      <c r="B5" s="1" t="s">
        <v>76</v>
      </c>
      <c r="C5" s="1" t="s">
        <v>77</v>
      </c>
      <c r="D5" s="1" t="s">
        <v>78</v>
      </c>
      <c r="E5" s="1" t="s">
        <v>79</v>
      </c>
      <c r="F5" s="1" t="s">
        <v>80</v>
      </c>
      <c r="G5" s="1" t="s">
        <v>81</v>
      </c>
      <c r="H5" s="1" t="s">
        <v>82</v>
      </c>
      <c r="I5" s="1" t="s">
        <v>83</v>
      </c>
      <c r="J5" s="1" t="s">
        <v>84</v>
      </c>
      <c r="K5" s="1" t="s">
        <v>85</v>
      </c>
      <c r="L5" s="1" t="s">
        <v>86</v>
      </c>
      <c r="M5" s="1" t="s">
        <v>87</v>
      </c>
      <c r="N5" s="1" t="s">
        <v>88</v>
      </c>
      <c r="O5" s="1" t="s">
        <v>89</v>
      </c>
      <c r="P5" s="1" t="s">
        <v>90</v>
      </c>
      <c r="Q5" s="1" t="s">
        <v>91</v>
      </c>
      <c r="R5" s="1" t="s">
        <v>92</v>
      </c>
      <c r="S5" s="1" t="s">
        <v>93</v>
      </c>
      <c r="T5" s="1" t="s">
        <v>94</v>
      </c>
      <c r="U5" s="1" t="s">
        <v>95</v>
      </c>
    </row>
    <row r="6" spans="1:21" x14ac:dyDescent="0.25">
      <c r="A6" s="16" t="s">
        <v>96</v>
      </c>
      <c r="B6" s="16" t="s">
        <v>97</v>
      </c>
      <c r="C6" s="16" t="s">
        <v>98</v>
      </c>
      <c r="D6" s="17" t="s">
        <v>6</v>
      </c>
      <c r="E6" s="17" t="s">
        <v>99</v>
      </c>
      <c r="F6" s="17" t="s">
        <v>7</v>
      </c>
      <c r="G6" s="17" t="s">
        <v>8</v>
      </c>
      <c r="H6" s="18" t="s">
        <v>5</v>
      </c>
      <c r="I6" s="19">
        <f>GESTION_BANCA!$C$4</f>
      </c>
      <c r="J6" s="19">
        <v>20</v>
      </c>
      <c r="K6" s="20">
        <f>IF(AND(ISNUMBER(I6),I6&gt;0,ISNUMBER(J6)), J6/I6, 0)</f>
      </c>
      <c r="L6" s="21">
        <v>1.85</v>
      </c>
      <c r="M6" s="19">
        <f>IF(AND(ISNUMBER(J6),ISNUMBER(L6)), J6*L6, 0)</f>
      </c>
      <c r="N6" s="19">
        <f>IF(AND(ISNUMBER(J6),ISNUMBER(L6)), (J6*L6)-J6, 0)</f>
      </c>
      <c r="O6" s="22">
        <f>IF(H6="Ganada", M6-J6, IF(H6="Perdida", -J6, IF(OR(H6="Cancelada",H6="Reembolsada",H6="Pendiente"), 0, 0)))</f>
      </c>
      <c r="P6" s="19">
        <f>IF(H6="Pendiente", I6, IF(ISNUMBER(I6), I6+O6, I6))</f>
      </c>
      <c r="Q6" s="20">
        <f>IF(AND(ISNUMBER(J6),J6&gt;0), O6/J6, 0)</f>
      </c>
      <c r="R6" s="20">
        <f>IF(AND(ISNUMBER(I6),I6&gt;0,ISNUMBER(J6)), J6/I6, 0)</f>
      </c>
      <c r="S6" s="22">
        <f>IF(ISNUMBER(O6), SUM($O$6:O6), 0)</f>
      </c>
      <c r="T6" s="16">
        <f>IF(ISBLANK(H6), "", IF(R6&gt;GESTION_BANCA!$C$6, "🔴 EXCESO RIESGO", IF(R6&gt;GESTION_BANCA!$C$7, "🟡 PRECAUCIÓN", "🟢 DENTRO LÍMITE")))</f>
      </c>
      <c r="U6" s="17" t="s">
        <v>100</v>
      </c>
    </row>
    <row r="7" spans="1:21" x14ac:dyDescent="0.25">
      <c r="A7" s="16" t="s">
        <v>101</v>
      </c>
      <c r="B7" s="16" t="s">
        <v>102</v>
      </c>
      <c r="C7" s="16" t="s">
        <v>103</v>
      </c>
      <c r="D7" s="17" t="s">
        <v>6</v>
      </c>
      <c r="E7" s="17" t="s">
        <v>104</v>
      </c>
      <c r="F7" s="17" t="s">
        <v>7</v>
      </c>
      <c r="G7" s="17" t="s">
        <v>18</v>
      </c>
      <c r="H7" s="18" t="s">
        <v>5</v>
      </c>
      <c r="I7" s="19">
        <f>P6</f>
      </c>
      <c r="J7" s="19">
        <v>20</v>
      </c>
      <c r="K7" s="20">
        <f>IF(AND(ISNUMBER(I7),I7&gt;0,ISNUMBER(J7)), J7/I7, 0)</f>
      </c>
      <c r="L7" s="21">
        <v>2.1</v>
      </c>
      <c r="M7" s="19">
        <f>IF(AND(ISNUMBER(J7),ISNUMBER(L7)), J7*L7, 0)</f>
      </c>
      <c r="N7" s="19">
        <f>IF(AND(ISNUMBER(J7),ISNUMBER(L7)), (J7*L7)-J7, 0)</f>
      </c>
      <c r="O7" s="22">
        <f>IF(H7="Ganada", M7-J7, IF(H7="Perdida", -J7, IF(OR(H7="Cancelada",H7="Reembolsada",H7="Pendiente"), 0, 0)))</f>
      </c>
      <c r="P7" s="19">
        <f>IF(H7="Pendiente", I7, IF(ISNUMBER(I7), I7+O7, I7))</f>
      </c>
      <c r="Q7" s="20">
        <f>IF(AND(ISNUMBER(J7),J7&gt;0), O7/J7, 0)</f>
      </c>
      <c r="R7" s="20">
        <f>IF(AND(ISNUMBER(I7),I7&gt;0,ISNUMBER(J7)), J7/I7, 0)</f>
      </c>
      <c r="S7" s="22">
        <f>IF(ISNUMBER(O7), SUM($O$6:O7), 0)</f>
      </c>
      <c r="T7" s="16">
        <f>IF(ISBLANK(H7), "", IF(R7&gt;GESTION_BANCA!$C$6, "🔴 EXCESO RIESGO", IF(R7&gt;GESTION_BANCA!$C$7, "🟡 PRECAUCIÓN", "🟢 DENTRO LÍMITE")))</f>
      </c>
      <c r="U7" s="17" t="s">
        <v>105</v>
      </c>
    </row>
    <row r="8" spans="1:21" x14ac:dyDescent="0.25">
      <c r="A8" s="16" t="s">
        <v>106</v>
      </c>
      <c r="B8" s="16" t="s">
        <v>107</v>
      </c>
      <c r="C8" s="16" t="s">
        <v>108</v>
      </c>
      <c r="D8" s="17" t="s">
        <v>6</v>
      </c>
      <c r="E8" s="17" t="s">
        <v>109</v>
      </c>
      <c r="F8" s="17" t="s">
        <v>12</v>
      </c>
      <c r="G8" s="17" t="s">
        <v>13</v>
      </c>
      <c r="H8" s="23" t="s">
        <v>10</v>
      </c>
      <c r="I8" s="19">
        <f>P7</f>
      </c>
      <c r="J8" s="19">
        <v>20</v>
      </c>
      <c r="K8" s="20">
        <f>IF(AND(ISNUMBER(I8),I8&gt;0,ISNUMBER(J8)), J8/I8, 0)</f>
      </c>
      <c r="L8" s="21">
        <v>1.9</v>
      </c>
      <c r="M8" s="19">
        <f>IF(AND(ISNUMBER(J8),ISNUMBER(L8)), J8*L8, 0)</f>
      </c>
      <c r="N8" s="19">
        <f>IF(AND(ISNUMBER(J8),ISNUMBER(L8)), (J8*L8)-J8, 0)</f>
      </c>
      <c r="O8" s="22">
        <f>IF(H8="Ganada", M8-J8, IF(H8="Perdida", -J8, IF(OR(H8="Cancelada",H8="Reembolsada",H8="Pendiente"), 0, 0)))</f>
      </c>
      <c r="P8" s="19">
        <f>IF(H8="Pendiente", I8, IF(ISNUMBER(I8), I8+O8, I8))</f>
      </c>
      <c r="Q8" s="20">
        <f>IF(AND(ISNUMBER(J8),J8&gt;0), O8/J8, 0)</f>
      </c>
      <c r="R8" s="20">
        <f>IF(AND(ISNUMBER(I8),I8&gt;0,ISNUMBER(J8)), J8/I8, 0)</f>
      </c>
      <c r="S8" s="22">
        <f>IF(ISNUMBER(O8), SUM($O$6:O8), 0)</f>
      </c>
      <c r="T8" s="16">
        <f>IF(ISBLANK(H8), "", IF(R8&gt;GESTION_BANCA!$C$6, "🔴 EXCESO RIESGO", IF(R8&gt;GESTION_BANCA!$C$7, "🟡 PRECAUCIÓN", "🟢 DENTRO LÍMITE")))</f>
      </c>
      <c r="U8" s="17" t="s">
        <v>110</v>
      </c>
    </row>
    <row r="9" spans="1:21" x14ac:dyDescent="0.25">
      <c r="A9" s="16" t="s">
        <v>111</v>
      </c>
      <c r="B9" s="16" t="s">
        <v>112</v>
      </c>
      <c r="C9" s="16" t="s">
        <v>113</v>
      </c>
      <c r="D9" s="17" t="s">
        <v>6</v>
      </c>
      <c r="E9" s="17" t="s">
        <v>114</v>
      </c>
      <c r="F9" s="17" t="s">
        <v>7</v>
      </c>
      <c r="G9" s="17" t="s">
        <v>8</v>
      </c>
      <c r="H9" s="18" t="s">
        <v>5</v>
      </c>
      <c r="I9" s="19">
        <f>P8</f>
      </c>
      <c r="J9" s="19">
        <v>20</v>
      </c>
      <c r="K9" s="20">
        <f>IF(AND(ISNUMBER(I9),I9&gt;0,ISNUMBER(J9)), J9/I9, 0)</f>
      </c>
      <c r="L9" s="21">
        <v>2.05</v>
      </c>
      <c r="M9" s="19">
        <f>IF(AND(ISNUMBER(J9),ISNUMBER(L9)), J9*L9, 0)</f>
      </c>
      <c r="N9" s="19">
        <f>IF(AND(ISNUMBER(J9),ISNUMBER(L9)), (J9*L9)-J9, 0)</f>
      </c>
      <c r="O9" s="22">
        <f>IF(H9="Ganada", M9-J9, IF(H9="Perdida", -J9, IF(OR(H9="Cancelada",H9="Reembolsada",H9="Pendiente"), 0, 0)))</f>
      </c>
      <c r="P9" s="19">
        <f>IF(H9="Pendiente", I9, IF(ISNUMBER(I9), I9+O9, I9))</f>
      </c>
      <c r="Q9" s="20">
        <f>IF(AND(ISNUMBER(J9),J9&gt;0), O9/J9, 0)</f>
      </c>
      <c r="R9" s="20">
        <f>IF(AND(ISNUMBER(I9),I9&gt;0,ISNUMBER(J9)), J9/I9, 0)</f>
      </c>
      <c r="S9" s="22">
        <f>IF(ISNUMBER(O9), SUM($O$6:O9), 0)</f>
      </c>
      <c r="T9" s="16">
        <f>IF(ISBLANK(H9), "", IF(R9&gt;GESTION_BANCA!$C$6, "🔴 EXCESO RIESGO", IF(R9&gt;GESTION_BANCA!$C$7, "🟡 PRECAUCIÓN", "🟢 DENTRO LÍMITE")))</f>
      </c>
      <c r="U9" s="17" t="s">
        <v>115</v>
      </c>
    </row>
    <row r="10" spans="1:21" x14ac:dyDescent="0.25">
      <c r="A10" s="16" t="s">
        <v>116</v>
      </c>
      <c r="B10" s="16" t="s">
        <v>117</v>
      </c>
      <c r="C10" s="16" t="s">
        <v>118</v>
      </c>
      <c r="D10" s="17" t="s">
        <v>6</v>
      </c>
      <c r="E10" s="17" t="s">
        <v>119</v>
      </c>
      <c r="F10" s="17" t="s">
        <v>7</v>
      </c>
      <c r="G10" s="17" t="s">
        <v>23</v>
      </c>
      <c r="H10" s="18" t="s">
        <v>5</v>
      </c>
      <c r="I10" s="19">
        <f>P9</f>
      </c>
      <c r="J10" s="19">
        <v>25</v>
      </c>
      <c r="K10" s="20">
        <f>IF(AND(ISNUMBER(I10),I10&gt;0,ISNUMBER(J10)), J10/I10, 0)</f>
      </c>
      <c r="L10" s="21">
        <v>2.2</v>
      </c>
      <c r="M10" s="19">
        <f>IF(AND(ISNUMBER(J10),ISNUMBER(L10)), J10*L10, 0)</f>
      </c>
      <c r="N10" s="19">
        <f>IF(AND(ISNUMBER(J10),ISNUMBER(L10)), (J10*L10)-J10, 0)</f>
      </c>
      <c r="O10" s="22">
        <f>IF(H10="Ganada", M10-J10, IF(H10="Perdida", -J10, IF(OR(H10="Cancelada",H10="Reembolsada",H10="Pendiente"), 0, 0)))</f>
      </c>
      <c r="P10" s="19">
        <f>IF(H10="Pendiente", I10, IF(ISNUMBER(I10), I10+O10, I10))</f>
      </c>
      <c r="Q10" s="20">
        <f>IF(AND(ISNUMBER(J10),J10&gt;0), O10/J10, 0)</f>
      </c>
      <c r="R10" s="20">
        <f>IF(AND(ISNUMBER(I10),I10&gt;0,ISNUMBER(J10)), J10/I10, 0)</f>
      </c>
      <c r="S10" s="22">
        <f>IF(ISNUMBER(O10), SUM($O$6:O10), 0)</f>
      </c>
      <c r="T10" s="16">
        <f>IF(ISBLANK(H10), "", IF(R10&gt;GESTION_BANCA!$C$6, "🔴 EXCESO RIESGO", IF(R10&gt;GESTION_BANCA!$C$7, "🟡 PRECAUCIÓN", "🟢 DENTRO LÍMITE")))</f>
      </c>
      <c r="U10" s="17" t="s">
        <v>120</v>
      </c>
    </row>
    <row r="11" spans="1:21" x14ac:dyDescent="0.25">
      <c r="A11" s="16" t="s">
        <v>121</v>
      </c>
      <c r="B11" s="16" t="s">
        <v>122</v>
      </c>
      <c r="C11" s="16" t="s">
        <v>123</v>
      </c>
      <c r="D11" s="17" t="s">
        <v>6</v>
      </c>
      <c r="E11" s="17" t="s">
        <v>124</v>
      </c>
      <c r="F11" s="17" t="s">
        <v>7</v>
      </c>
      <c r="G11" s="17" t="s">
        <v>8</v>
      </c>
      <c r="H11" s="23" t="s">
        <v>10</v>
      </c>
      <c r="I11" s="19">
        <f>P10</f>
      </c>
      <c r="J11" s="19">
        <v>20</v>
      </c>
      <c r="K11" s="20">
        <f>IF(AND(ISNUMBER(I11),I11&gt;0,ISNUMBER(J11)), J11/I11, 0)</f>
      </c>
      <c r="L11" s="21">
        <v>1.95</v>
      </c>
      <c r="M11" s="19">
        <f>IF(AND(ISNUMBER(J11),ISNUMBER(L11)), J11*L11, 0)</f>
      </c>
      <c r="N11" s="19">
        <f>IF(AND(ISNUMBER(J11),ISNUMBER(L11)), (J11*L11)-J11, 0)</f>
      </c>
      <c r="O11" s="22">
        <f>IF(H11="Ganada", M11-J11, IF(H11="Perdida", -J11, IF(OR(H11="Cancelada",H11="Reembolsada",H11="Pendiente"), 0, 0)))</f>
      </c>
      <c r="P11" s="19">
        <f>IF(H11="Pendiente", I11, IF(ISNUMBER(I11), I11+O11, I11))</f>
      </c>
      <c r="Q11" s="20">
        <f>IF(AND(ISNUMBER(J11),J11&gt;0), O11/J11, 0)</f>
      </c>
      <c r="R11" s="20">
        <f>IF(AND(ISNUMBER(I11),I11&gt;0,ISNUMBER(J11)), J11/I11, 0)</f>
      </c>
      <c r="S11" s="22">
        <f>IF(ISNUMBER(O11), SUM($O$6:O11), 0)</f>
      </c>
      <c r="T11" s="16">
        <f>IF(ISBLANK(H11), "", IF(R11&gt;GESTION_BANCA!$C$6, "🔴 EXCESO RIESGO", IF(R11&gt;GESTION_BANCA!$C$7, "🟡 PRECAUCIÓN", "🟢 DENTRO LÍMITE")))</f>
      </c>
      <c r="U11" s="17" t="s">
        <v>125</v>
      </c>
    </row>
    <row r="12" spans="1:21" x14ac:dyDescent="0.25">
      <c r="A12" s="16" t="s">
        <v>126</v>
      </c>
      <c r="B12" s="16" t="s">
        <v>127</v>
      </c>
      <c r="C12" s="16" t="s">
        <v>128</v>
      </c>
      <c r="D12" s="17" t="s">
        <v>6</v>
      </c>
      <c r="E12" s="17" t="s">
        <v>129</v>
      </c>
      <c r="F12" s="17" t="s">
        <v>12</v>
      </c>
      <c r="G12" s="17" t="s">
        <v>13</v>
      </c>
      <c r="H12" s="18" t="s">
        <v>5</v>
      </c>
      <c r="I12" s="19">
        <f>P11</f>
      </c>
      <c r="J12" s="19">
        <v>20</v>
      </c>
      <c r="K12" s="20">
        <f>IF(AND(ISNUMBER(I12),I12&gt;0,ISNUMBER(J12)), J12/I12, 0)</f>
      </c>
      <c r="L12" s="21">
        <v>1.8</v>
      </c>
      <c r="M12" s="19">
        <f>IF(AND(ISNUMBER(J12),ISNUMBER(L12)), J12*L12, 0)</f>
      </c>
      <c r="N12" s="19">
        <f>IF(AND(ISNUMBER(J12),ISNUMBER(L12)), (J12*L12)-J12, 0)</f>
      </c>
      <c r="O12" s="22">
        <f>IF(H12="Ganada", M12-J12, IF(H12="Perdida", -J12, IF(OR(H12="Cancelada",H12="Reembolsada",H12="Pendiente"), 0, 0)))</f>
      </c>
      <c r="P12" s="19">
        <f>IF(H12="Pendiente", I12, IF(ISNUMBER(I12), I12+O12, I12))</f>
      </c>
      <c r="Q12" s="20">
        <f>IF(AND(ISNUMBER(J12),J12&gt;0), O12/J12, 0)</f>
      </c>
      <c r="R12" s="20">
        <f>IF(AND(ISNUMBER(I12),I12&gt;0,ISNUMBER(J12)), J12/I12, 0)</f>
      </c>
      <c r="S12" s="22">
        <f>IF(ISNUMBER(O12), SUM($O$6:O12), 0)</f>
      </c>
      <c r="T12" s="16">
        <f>IF(ISBLANK(H12), "", IF(R12&gt;GESTION_BANCA!$C$6, "🔴 EXCESO RIESGO", IF(R12&gt;GESTION_BANCA!$C$7, "🟡 PRECAUCIÓN", "🟢 DENTRO LÍMITE")))</f>
      </c>
      <c r="U12" s="17" t="s">
        <v>130</v>
      </c>
    </row>
    <row r="13" spans="1:21" x14ac:dyDescent="0.25">
      <c r="A13" s="16" t="s">
        <v>131</v>
      </c>
      <c r="B13" s="16" t="s">
        <v>132</v>
      </c>
      <c r="C13" s="16" t="s">
        <v>133</v>
      </c>
      <c r="D13" s="17" t="s">
        <v>6</v>
      </c>
      <c r="E13" s="17" t="s">
        <v>134</v>
      </c>
      <c r="F13" s="17" t="s">
        <v>7</v>
      </c>
      <c r="G13" s="17" t="s">
        <v>28</v>
      </c>
      <c r="H13" s="18" t="s">
        <v>5</v>
      </c>
      <c r="I13" s="19">
        <f>P12</f>
      </c>
      <c r="J13" s="19">
        <v>20</v>
      </c>
      <c r="K13" s="20">
        <f>IF(AND(ISNUMBER(I13),I13&gt;0,ISNUMBER(J13)), J13/I13, 0)</f>
      </c>
      <c r="L13" s="21">
        <v>2.15</v>
      </c>
      <c r="M13" s="19">
        <f>IF(AND(ISNUMBER(J13),ISNUMBER(L13)), J13*L13, 0)</f>
      </c>
      <c r="N13" s="19">
        <f>IF(AND(ISNUMBER(J13),ISNUMBER(L13)), (J13*L13)-J13, 0)</f>
      </c>
      <c r="O13" s="22">
        <f>IF(H13="Ganada", M13-J13, IF(H13="Perdida", -J13, IF(OR(H13="Cancelada",H13="Reembolsada",H13="Pendiente"), 0, 0)))</f>
      </c>
      <c r="P13" s="19">
        <f>IF(H13="Pendiente", I13, IF(ISNUMBER(I13), I13+O13, I13))</f>
      </c>
      <c r="Q13" s="20">
        <f>IF(AND(ISNUMBER(J13),J13&gt;0), O13/J13, 0)</f>
      </c>
      <c r="R13" s="20">
        <f>IF(AND(ISNUMBER(I13),I13&gt;0,ISNUMBER(J13)), J13/I13, 0)</f>
      </c>
      <c r="S13" s="22">
        <f>IF(ISNUMBER(O13), SUM($O$6:O13), 0)</f>
      </c>
      <c r="T13" s="16">
        <f>IF(ISBLANK(H13), "", IF(R13&gt;GESTION_BANCA!$C$6, "🔴 EXCESO RIESGO", IF(R13&gt;GESTION_BANCA!$C$7, "🟡 PRECAUCIÓN", "🟢 DENTRO LÍMITE")))</f>
      </c>
      <c r="U13" s="17" t="s">
        <v>135</v>
      </c>
    </row>
    <row r="14" spans="1:21" x14ac:dyDescent="0.25">
      <c r="A14" s="16" t="s">
        <v>136</v>
      </c>
      <c r="B14" s="16" t="s">
        <v>137</v>
      </c>
      <c r="C14" s="16" t="s">
        <v>138</v>
      </c>
      <c r="D14" s="17" t="s">
        <v>6</v>
      </c>
      <c r="E14" s="17" t="s">
        <v>139</v>
      </c>
      <c r="F14" s="17" t="s">
        <v>7</v>
      </c>
      <c r="G14" s="17" t="s">
        <v>8</v>
      </c>
      <c r="H14" s="24" t="s">
        <v>15</v>
      </c>
      <c r="I14" s="19">
        <f>P13</f>
      </c>
      <c r="J14" s="19">
        <v>20</v>
      </c>
      <c r="K14" s="20">
        <f>IF(AND(ISNUMBER(I14),I14&gt;0,ISNUMBER(J14)), J14/I14, 0)</f>
      </c>
      <c r="L14" s="21">
        <v>1.9</v>
      </c>
      <c r="M14" s="19">
        <f>IF(AND(ISNUMBER(J14),ISNUMBER(L14)), J14*L14, 0)</f>
      </c>
      <c r="N14" s="19">
        <f>IF(AND(ISNUMBER(J14),ISNUMBER(L14)), (J14*L14)-J14, 0)</f>
      </c>
      <c r="O14" s="22">
        <f>IF(H14="Ganada", M14-J14, IF(H14="Perdida", -J14, IF(OR(H14="Cancelada",H14="Reembolsada",H14="Pendiente"), 0, 0)))</f>
      </c>
      <c r="P14" s="19">
        <f>IF(H14="Pendiente", I14, IF(ISNUMBER(I14), I14+O14, I14))</f>
      </c>
      <c r="Q14" s="20">
        <f>IF(AND(ISNUMBER(J14),J14&gt;0), O14/J14, 0)</f>
      </c>
      <c r="R14" s="20">
        <f>IF(AND(ISNUMBER(I14),I14&gt;0,ISNUMBER(J14)), J14/I14, 0)</f>
      </c>
      <c r="S14" s="22">
        <f>IF(ISNUMBER(O14), SUM($O$6:O14), 0)</f>
      </c>
      <c r="T14" s="16">
        <f>IF(ISBLANK(H14), "", IF(R14&gt;GESTION_BANCA!$C$6, "🔴 EXCESO RIESGO", IF(R14&gt;GESTION_BANCA!$C$7, "🟡 PRECAUCIÓN", "🟢 DENTRO LÍMITE")))</f>
      </c>
      <c r="U14" s="17" t="s">
        <v>140</v>
      </c>
    </row>
    <row r="15" spans="1:21" x14ac:dyDescent="0.25">
      <c r="A15" s="16" t="s">
        <v>141</v>
      </c>
      <c r="B15" s="16"/>
      <c r="C15" s="16"/>
      <c r="D15" s="17"/>
      <c r="E15" s="17"/>
      <c r="F15" s="17"/>
      <c r="G15" s="17"/>
      <c r="H15" s="16"/>
      <c r="I15" s="19">
        <f>P14</f>
      </c>
      <c r="J15" s="19"/>
      <c r="K15" s="20">
        <f>IF(AND(ISNUMBER(I15),I15&gt;0,ISNUMBER(J15)), J15/I15, 0)</f>
      </c>
      <c r="L15" s="21"/>
      <c r="M15" s="19">
        <f>IF(AND(ISNUMBER(J15),ISNUMBER(L15)), J15*L15, 0)</f>
      </c>
      <c r="N15" s="19">
        <f>IF(AND(ISNUMBER(J15),ISNUMBER(L15)), (J15*L15)-J15, 0)</f>
      </c>
      <c r="O15" s="22">
        <f>IF(H15="Ganada", M15-J15, IF(H15="Perdida", -J15, IF(OR(H15="Cancelada",H15="Reembolsada",H15="Pendiente"), 0, 0)))</f>
      </c>
      <c r="P15" s="19">
        <f>IF(H15="Pendiente", I15, IF(ISNUMBER(I15), I15+O15, I15))</f>
      </c>
      <c r="Q15" s="20">
        <f>IF(AND(ISNUMBER(J15),J15&gt;0), O15/J15, 0)</f>
      </c>
      <c r="R15" s="20">
        <f>IF(AND(ISNUMBER(I15),I15&gt;0,ISNUMBER(J15)), J15/I15, 0)</f>
      </c>
      <c r="S15" s="22">
        <f>IF(ISNUMBER(O15), SUM($O$6:O15), 0)</f>
      </c>
      <c r="T15" s="16">
        <f>IF(ISBLANK(H15), "", IF(R15&gt;GESTION_BANCA!$C$6, "🔴 EXCESO RIESGO", IF(R15&gt;GESTION_BANCA!$C$7, "🟡 PRECAUCIÓN", "🟢 DENTRO LÍMITE")))</f>
      </c>
      <c r="U15" s="17"/>
    </row>
    <row r="16" spans="1:21" x14ac:dyDescent="0.25">
      <c r="A16" s="16" t="s">
        <v>142</v>
      </c>
      <c r="B16" s="16"/>
      <c r="C16" s="16"/>
      <c r="D16" s="17"/>
      <c r="E16" s="17"/>
      <c r="F16" s="17"/>
      <c r="G16" s="17"/>
      <c r="H16" s="16"/>
      <c r="I16" s="19">
        <f>P15</f>
      </c>
      <c r="J16" s="19"/>
      <c r="K16" s="20">
        <f>IF(AND(ISNUMBER(I16),I16&gt;0,ISNUMBER(J16)), J16/I16, 0)</f>
      </c>
      <c r="L16" s="21"/>
      <c r="M16" s="19">
        <f>IF(AND(ISNUMBER(J16),ISNUMBER(L16)), J16*L16, 0)</f>
      </c>
      <c r="N16" s="19">
        <f>IF(AND(ISNUMBER(J16),ISNUMBER(L16)), (J16*L16)-J16, 0)</f>
      </c>
      <c r="O16" s="22">
        <f>IF(H16="Ganada", M16-J16, IF(H16="Perdida", -J16, IF(OR(H16="Cancelada",H16="Reembolsada",H16="Pendiente"), 0, 0)))</f>
      </c>
      <c r="P16" s="19">
        <f>IF(H16="Pendiente", I16, IF(ISNUMBER(I16), I16+O16, I16))</f>
      </c>
      <c r="Q16" s="20">
        <f>IF(AND(ISNUMBER(J16),J16&gt;0), O16/J16, 0)</f>
      </c>
      <c r="R16" s="20">
        <f>IF(AND(ISNUMBER(I16),I16&gt;0,ISNUMBER(J16)), J16/I16, 0)</f>
      </c>
      <c r="S16" s="22">
        <f>IF(ISNUMBER(O16), SUM($O$6:O16), 0)</f>
      </c>
      <c r="T16" s="16">
        <f>IF(ISBLANK(H16), "", IF(R16&gt;GESTION_BANCA!$C$6, "🔴 EXCESO RIESGO", IF(R16&gt;GESTION_BANCA!$C$7, "🟡 PRECAUCIÓN", "🟢 DENTRO LÍMITE")))</f>
      </c>
      <c r="U16" s="17"/>
    </row>
    <row r="17" spans="1:21" x14ac:dyDescent="0.25">
      <c r="A17" s="16" t="s">
        <v>143</v>
      </c>
      <c r="B17" s="16"/>
      <c r="C17" s="16"/>
      <c r="D17" s="17"/>
      <c r="E17" s="17"/>
      <c r="F17" s="17"/>
      <c r="G17" s="17"/>
      <c r="H17" s="16"/>
      <c r="I17" s="19">
        <f>P16</f>
      </c>
      <c r="J17" s="19"/>
      <c r="K17" s="20">
        <f>IF(AND(ISNUMBER(I17),I17&gt;0,ISNUMBER(J17)), J17/I17, 0)</f>
      </c>
      <c r="L17" s="21"/>
      <c r="M17" s="19">
        <f>IF(AND(ISNUMBER(J17),ISNUMBER(L17)), J17*L17, 0)</f>
      </c>
      <c r="N17" s="19">
        <f>IF(AND(ISNUMBER(J17),ISNUMBER(L17)), (J17*L17)-J17, 0)</f>
      </c>
      <c r="O17" s="22">
        <f>IF(H17="Ganada", M17-J17, IF(H17="Perdida", -J17, IF(OR(H17="Cancelada",H17="Reembolsada",H17="Pendiente"), 0, 0)))</f>
      </c>
      <c r="P17" s="19">
        <f>IF(H17="Pendiente", I17, IF(ISNUMBER(I17), I17+O17, I17))</f>
      </c>
      <c r="Q17" s="20">
        <f>IF(AND(ISNUMBER(J17),J17&gt;0), O17/J17, 0)</f>
      </c>
      <c r="R17" s="20">
        <f>IF(AND(ISNUMBER(I17),I17&gt;0,ISNUMBER(J17)), J17/I17, 0)</f>
      </c>
      <c r="S17" s="22">
        <f>IF(ISNUMBER(O17), SUM($O$6:O17), 0)</f>
      </c>
      <c r="T17" s="16">
        <f>IF(ISBLANK(H17), "", IF(R17&gt;GESTION_BANCA!$C$6, "🔴 EXCESO RIESGO", IF(R17&gt;GESTION_BANCA!$C$7, "🟡 PRECAUCIÓN", "🟢 DENTRO LÍMITE")))</f>
      </c>
      <c r="U17" s="17"/>
    </row>
    <row r="18" spans="1:21" x14ac:dyDescent="0.25">
      <c r="A18" s="16" t="s">
        <v>144</v>
      </c>
      <c r="B18" s="16"/>
      <c r="C18" s="16"/>
      <c r="D18" s="17"/>
      <c r="E18" s="17"/>
      <c r="F18" s="17"/>
      <c r="G18" s="17"/>
      <c r="H18" s="16"/>
      <c r="I18" s="19">
        <f>P17</f>
      </c>
      <c r="J18" s="19"/>
      <c r="K18" s="20">
        <f>IF(AND(ISNUMBER(I18),I18&gt;0,ISNUMBER(J18)), J18/I18, 0)</f>
      </c>
      <c r="L18" s="21"/>
      <c r="M18" s="19">
        <f>IF(AND(ISNUMBER(J18),ISNUMBER(L18)), J18*L18, 0)</f>
      </c>
      <c r="N18" s="19">
        <f>IF(AND(ISNUMBER(J18),ISNUMBER(L18)), (J18*L18)-J18, 0)</f>
      </c>
      <c r="O18" s="22">
        <f>IF(H18="Ganada", M18-J18, IF(H18="Perdida", -J18, IF(OR(H18="Cancelada",H18="Reembolsada",H18="Pendiente"), 0, 0)))</f>
      </c>
      <c r="P18" s="19">
        <f>IF(H18="Pendiente", I18, IF(ISNUMBER(I18), I18+O18, I18))</f>
      </c>
      <c r="Q18" s="20">
        <f>IF(AND(ISNUMBER(J18),J18&gt;0), O18/J18, 0)</f>
      </c>
      <c r="R18" s="20">
        <f>IF(AND(ISNUMBER(I18),I18&gt;0,ISNUMBER(J18)), J18/I18, 0)</f>
      </c>
      <c r="S18" s="22">
        <f>IF(ISNUMBER(O18), SUM($O$6:O18), 0)</f>
      </c>
      <c r="T18" s="16">
        <f>IF(ISBLANK(H18), "", IF(R18&gt;GESTION_BANCA!$C$6, "🔴 EXCESO RIESGO", IF(R18&gt;GESTION_BANCA!$C$7, "🟡 PRECAUCIÓN", "🟢 DENTRO LÍMITE")))</f>
      </c>
      <c r="U18" s="17"/>
    </row>
    <row r="19" spans="1:21" x14ac:dyDescent="0.25">
      <c r="A19" s="16" t="s">
        <v>145</v>
      </c>
      <c r="B19" s="16"/>
      <c r="C19" s="16"/>
      <c r="D19" s="17"/>
      <c r="E19" s="17"/>
      <c r="F19" s="17"/>
      <c r="G19" s="17"/>
      <c r="H19" s="16"/>
      <c r="I19" s="19">
        <f>P18</f>
      </c>
      <c r="J19" s="19"/>
      <c r="K19" s="20">
        <f>IF(AND(ISNUMBER(I19),I19&gt;0,ISNUMBER(J19)), J19/I19, 0)</f>
      </c>
      <c r="L19" s="21"/>
      <c r="M19" s="19">
        <f>IF(AND(ISNUMBER(J19),ISNUMBER(L19)), J19*L19, 0)</f>
      </c>
      <c r="N19" s="19">
        <f>IF(AND(ISNUMBER(J19),ISNUMBER(L19)), (J19*L19)-J19, 0)</f>
      </c>
      <c r="O19" s="22">
        <f>IF(H19="Ganada", M19-J19, IF(H19="Perdida", -J19, IF(OR(H19="Cancelada",H19="Reembolsada",H19="Pendiente"), 0, 0)))</f>
      </c>
      <c r="P19" s="19">
        <f>IF(H19="Pendiente", I19, IF(ISNUMBER(I19), I19+O19, I19))</f>
      </c>
      <c r="Q19" s="20">
        <f>IF(AND(ISNUMBER(J19),J19&gt;0), O19/J19, 0)</f>
      </c>
      <c r="R19" s="20">
        <f>IF(AND(ISNUMBER(I19),I19&gt;0,ISNUMBER(J19)), J19/I19, 0)</f>
      </c>
      <c r="S19" s="22">
        <f>IF(ISNUMBER(O19), SUM($O$6:O19), 0)</f>
      </c>
      <c r="T19" s="16">
        <f>IF(ISBLANK(H19), "", IF(R19&gt;GESTION_BANCA!$C$6, "🔴 EXCESO RIESGO", IF(R19&gt;GESTION_BANCA!$C$7, "🟡 PRECAUCIÓN", "🟢 DENTRO LÍMITE")))</f>
      </c>
      <c r="U19" s="17"/>
    </row>
    <row r="20" spans="1:21" x14ac:dyDescent="0.25">
      <c r="A20" s="16" t="s">
        <v>146</v>
      </c>
      <c r="B20" s="16"/>
      <c r="C20" s="16"/>
      <c r="D20" s="17"/>
      <c r="E20" s="17"/>
      <c r="F20" s="17"/>
      <c r="G20" s="17"/>
      <c r="H20" s="16"/>
      <c r="I20" s="19">
        <f>P19</f>
      </c>
      <c r="J20" s="19"/>
      <c r="K20" s="20">
        <f>IF(AND(ISNUMBER(I20),I20&gt;0,ISNUMBER(J20)), J20/I20, 0)</f>
      </c>
      <c r="L20" s="21"/>
      <c r="M20" s="19">
        <f>IF(AND(ISNUMBER(J20),ISNUMBER(L20)), J20*L20, 0)</f>
      </c>
      <c r="N20" s="19">
        <f>IF(AND(ISNUMBER(J20),ISNUMBER(L20)), (J20*L20)-J20, 0)</f>
      </c>
      <c r="O20" s="22">
        <f>IF(H20="Ganada", M20-J20, IF(H20="Perdida", -J20, IF(OR(H20="Cancelada",H20="Reembolsada",H20="Pendiente"), 0, 0)))</f>
      </c>
      <c r="P20" s="19">
        <f>IF(H20="Pendiente", I20, IF(ISNUMBER(I20), I20+O20, I20))</f>
      </c>
      <c r="Q20" s="20">
        <f>IF(AND(ISNUMBER(J20),J20&gt;0), O20/J20, 0)</f>
      </c>
      <c r="R20" s="20">
        <f>IF(AND(ISNUMBER(I20),I20&gt;0,ISNUMBER(J20)), J20/I20, 0)</f>
      </c>
      <c r="S20" s="22">
        <f>IF(ISNUMBER(O20), SUM($O$6:O20), 0)</f>
      </c>
      <c r="T20" s="16">
        <f>IF(ISBLANK(H20), "", IF(R20&gt;GESTION_BANCA!$C$6, "🔴 EXCESO RIESGO", IF(R20&gt;GESTION_BANCA!$C$7, "🟡 PRECAUCIÓN", "🟢 DENTRO LÍMITE")))</f>
      </c>
      <c r="U20" s="17"/>
    </row>
    <row r="21" spans="1:21" x14ac:dyDescent="0.25">
      <c r="A21" s="16" t="s">
        <v>147</v>
      </c>
      <c r="B21" s="16"/>
      <c r="C21" s="16"/>
      <c r="D21" s="17"/>
      <c r="E21" s="17"/>
      <c r="F21" s="17"/>
      <c r="G21" s="17"/>
      <c r="H21" s="16"/>
      <c r="I21" s="19">
        <f>P20</f>
      </c>
      <c r="J21" s="19"/>
      <c r="K21" s="20">
        <f>IF(AND(ISNUMBER(I21),I21&gt;0,ISNUMBER(J21)), J21/I21, 0)</f>
      </c>
      <c r="L21" s="21"/>
      <c r="M21" s="19">
        <f>IF(AND(ISNUMBER(J21),ISNUMBER(L21)), J21*L21, 0)</f>
      </c>
      <c r="N21" s="19">
        <f>IF(AND(ISNUMBER(J21),ISNUMBER(L21)), (J21*L21)-J21, 0)</f>
      </c>
      <c r="O21" s="22">
        <f>IF(H21="Ganada", M21-J21, IF(H21="Perdida", -J21, IF(OR(H21="Cancelada",H21="Reembolsada",H21="Pendiente"), 0, 0)))</f>
      </c>
      <c r="P21" s="19">
        <f>IF(H21="Pendiente", I21, IF(ISNUMBER(I21), I21+O21, I21))</f>
      </c>
      <c r="Q21" s="20">
        <f>IF(AND(ISNUMBER(J21),J21&gt;0), O21/J21, 0)</f>
      </c>
      <c r="R21" s="20">
        <f>IF(AND(ISNUMBER(I21),I21&gt;0,ISNUMBER(J21)), J21/I21, 0)</f>
      </c>
      <c r="S21" s="22">
        <f>IF(ISNUMBER(O21), SUM($O$6:O21), 0)</f>
      </c>
      <c r="T21" s="16">
        <f>IF(ISBLANK(H21), "", IF(R21&gt;GESTION_BANCA!$C$6, "🔴 EXCESO RIESGO", IF(R21&gt;GESTION_BANCA!$C$7, "🟡 PRECAUCIÓN", "🟢 DENTRO LÍMITE")))</f>
      </c>
      <c r="U21" s="17"/>
    </row>
    <row r="22" spans="1:21" x14ac:dyDescent="0.25">
      <c r="A22" s="16" t="s">
        <v>148</v>
      </c>
      <c r="B22" s="16"/>
      <c r="C22" s="16"/>
      <c r="D22" s="17"/>
      <c r="E22" s="17"/>
      <c r="F22" s="17"/>
      <c r="G22" s="17"/>
      <c r="H22" s="16"/>
      <c r="I22" s="19">
        <f>P21</f>
      </c>
      <c r="J22" s="19"/>
      <c r="K22" s="20">
        <f>IF(AND(ISNUMBER(I22),I22&gt;0,ISNUMBER(J22)), J22/I22, 0)</f>
      </c>
      <c r="L22" s="21"/>
      <c r="M22" s="19">
        <f>IF(AND(ISNUMBER(J22),ISNUMBER(L22)), J22*L22, 0)</f>
      </c>
      <c r="N22" s="19">
        <f>IF(AND(ISNUMBER(J22),ISNUMBER(L22)), (J22*L22)-J22, 0)</f>
      </c>
      <c r="O22" s="22">
        <f>IF(H22="Ganada", M22-J22, IF(H22="Perdida", -J22, IF(OR(H22="Cancelada",H22="Reembolsada",H22="Pendiente"), 0, 0)))</f>
      </c>
      <c r="P22" s="19">
        <f>IF(H22="Pendiente", I22, IF(ISNUMBER(I22), I22+O22, I22))</f>
      </c>
      <c r="Q22" s="20">
        <f>IF(AND(ISNUMBER(J22),J22&gt;0), O22/J22, 0)</f>
      </c>
      <c r="R22" s="20">
        <f>IF(AND(ISNUMBER(I22),I22&gt;0,ISNUMBER(J22)), J22/I22, 0)</f>
      </c>
      <c r="S22" s="22">
        <f>IF(ISNUMBER(O22), SUM($O$6:O22), 0)</f>
      </c>
      <c r="T22" s="16">
        <f>IF(ISBLANK(H22), "", IF(R22&gt;GESTION_BANCA!$C$6, "🔴 EXCESO RIESGO", IF(R22&gt;GESTION_BANCA!$C$7, "🟡 PRECAUCIÓN", "🟢 DENTRO LÍMITE")))</f>
      </c>
      <c r="U22" s="17"/>
    </row>
    <row r="23" spans="1:21" x14ac:dyDescent="0.25">
      <c r="A23" s="16" t="s">
        <v>149</v>
      </c>
      <c r="B23" s="16"/>
      <c r="C23" s="16"/>
      <c r="D23" s="17"/>
      <c r="E23" s="17"/>
      <c r="F23" s="17"/>
      <c r="G23" s="17"/>
      <c r="H23" s="16"/>
      <c r="I23" s="19">
        <f>P22</f>
      </c>
      <c r="J23" s="19"/>
      <c r="K23" s="20">
        <f>IF(AND(ISNUMBER(I23),I23&gt;0,ISNUMBER(J23)), J23/I23, 0)</f>
      </c>
      <c r="L23" s="21"/>
      <c r="M23" s="19">
        <f>IF(AND(ISNUMBER(J23),ISNUMBER(L23)), J23*L23, 0)</f>
      </c>
      <c r="N23" s="19">
        <f>IF(AND(ISNUMBER(J23),ISNUMBER(L23)), (J23*L23)-J23, 0)</f>
      </c>
      <c r="O23" s="22">
        <f>IF(H23="Ganada", M23-J23, IF(H23="Perdida", -J23, IF(OR(H23="Cancelada",H23="Reembolsada",H23="Pendiente"), 0, 0)))</f>
      </c>
      <c r="P23" s="19">
        <f>IF(H23="Pendiente", I23, IF(ISNUMBER(I23), I23+O23, I23))</f>
      </c>
      <c r="Q23" s="20">
        <f>IF(AND(ISNUMBER(J23),J23&gt;0), O23/J23, 0)</f>
      </c>
      <c r="R23" s="20">
        <f>IF(AND(ISNUMBER(I23),I23&gt;0,ISNUMBER(J23)), J23/I23, 0)</f>
      </c>
      <c r="S23" s="22">
        <f>IF(ISNUMBER(O23), SUM($O$6:O23), 0)</f>
      </c>
      <c r="T23" s="16">
        <f>IF(ISBLANK(H23), "", IF(R23&gt;GESTION_BANCA!$C$6, "🔴 EXCESO RIESGO", IF(R23&gt;GESTION_BANCA!$C$7, "🟡 PRECAUCIÓN", "🟢 DENTRO LÍMITE")))</f>
      </c>
      <c r="U23" s="17"/>
    </row>
    <row r="24" spans="1:21" x14ac:dyDescent="0.25">
      <c r="A24" s="16" t="s">
        <v>150</v>
      </c>
      <c r="B24" s="16"/>
      <c r="C24" s="16"/>
      <c r="D24" s="17"/>
      <c r="E24" s="17"/>
      <c r="F24" s="17"/>
      <c r="G24" s="17"/>
      <c r="H24" s="16"/>
      <c r="I24" s="19">
        <f>P23</f>
      </c>
      <c r="J24" s="19"/>
      <c r="K24" s="20">
        <f>IF(AND(ISNUMBER(I24),I24&gt;0,ISNUMBER(J24)), J24/I24, 0)</f>
      </c>
      <c r="L24" s="21"/>
      <c r="M24" s="19">
        <f>IF(AND(ISNUMBER(J24),ISNUMBER(L24)), J24*L24, 0)</f>
      </c>
      <c r="N24" s="19">
        <f>IF(AND(ISNUMBER(J24),ISNUMBER(L24)), (J24*L24)-J24, 0)</f>
      </c>
      <c r="O24" s="22">
        <f>IF(H24="Ganada", M24-J24, IF(H24="Perdida", -J24, IF(OR(H24="Cancelada",H24="Reembolsada",H24="Pendiente"), 0, 0)))</f>
      </c>
      <c r="P24" s="19">
        <f>IF(H24="Pendiente", I24, IF(ISNUMBER(I24), I24+O24, I24))</f>
      </c>
      <c r="Q24" s="20">
        <f>IF(AND(ISNUMBER(J24),J24&gt;0), O24/J24, 0)</f>
      </c>
      <c r="R24" s="20">
        <f>IF(AND(ISNUMBER(I24),I24&gt;0,ISNUMBER(J24)), J24/I24, 0)</f>
      </c>
      <c r="S24" s="22">
        <f>IF(ISNUMBER(O24), SUM($O$6:O24), 0)</f>
      </c>
      <c r="T24" s="16">
        <f>IF(ISBLANK(H24), "", IF(R24&gt;GESTION_BANCA!$C$6, "🔴 EXCESO RIESGO", IF(R24&gt;GESTION_BANCA!$C$7, "🟡 PRECAUCIÓN", "🟢 DENTRO LÍMITE")))</f>
      </c>
      <c r="U24" s="17"/>
    </row>
    <row r="25" spans="1:21" x14ac:dyDescent="0.25">
      <c r="A25" s="16" t="s">
        <v>151</v>
      </c>
      <c r="B25" s="16"/>
      <c r="C25" s="16"/>
      <c r="D25" s="17"/>
      <c r="E25" s="17"/>
      <c r="F25" s="17"/>
      <c r="G25" s="17"/>
      <c r="H25" s="16"/>
      <c r="I25" s="19">
        <f>P24</f>
      </c>
      <c r="J25" s="19"/>
      <c r="K25" s="20">
        <f>IF(AND(ISNUMBER(I25),I25&gt;0,ISNUMBER(J25)), J25/I25, 0)</f>
      </c>
      <c r="L25" s="21"/>
      <c r="M25" s="19">
        <f>IF(AND(ISNUMBER(J25),ISNUMBER(L25)), J25*L25, 0)</f>
      </c>
      <c r="N25" s="19">
        <f>IF(AND(ISNUMBER(J25),ISNUMBER(L25)), (J25*L25)-J25, 0)</f>
      </c>
      <c r="O25" s="22">
        <f>IF(H25="Ganada", M25-J25, IF(H25="Perdida", -J25, IF(OR(H25="Cancelada",H25="Reembolsada",H25="Pendiente"), 0, 0)))</f>
      </c>
      <c r="P25" s="19">
        <f>IF(H25="Pendiente", I25, IF(ISNUMBER(I25), I25+O25, I25))</f>
      </c>
      <c r="Q25" s="20">
        <f>IF(AND(ISNUMBER(J25),J25&gt;0), O25/J25, 0)</f>
      </c>
      <c r="R25" s="20">
        <f>IF(AND(ISNUMBER(I25),I25&gt;0,ISNUMBER(J25)), J25/I25, 0)</f>
      </c>
      <c r="S25" s="22">
        <f>IF(ISNUMBER(O25), SUM($O$6:O25), 0)</f>
      </c>
      <c r="T25" s="16">
        <f>IF(ISBLANK(H25), "", IF(R25&gt;GESTION_BANCA!$C$6, "🔴 EXCESO RIESGO", IF(R25&gt;GESTION_BANCA!$C$7, "🟡 PRECAUCIÓN", "🟢 DENTRO LÍMITE")))</f>
      </c>
      <c r="U25" s="17"/>
    </row>
    <row r="26" spans="1:21" x14ac:dyDescent="0.25">
      <c r="A26" s="16" t="s">
        <v>152</v>
      </c>
      <c r="B26" s="16"/>
      <c r="C26" s="16"/>
      <c r="D26" s="17"/>
      <c r="E26" s="17"/>
      <c r="F26" s="17"/>
      <c r="G26" s="17"/>
      <c r="H26" s="16"/>
      <c r="I26" s="19">
        <f>P25</f>
      </c>
      <c r="J26" s="19"/>
      <c r="K26" s="20">
        <f>IF(AND(ISNUMBER(I26),I26&gt;0,ISNUMBER(J26)), J26/I26, 0)</f>
      </c>
      <c r="L26" s="21"/>
      <c r="M26" s="19">
        <f>IF(AND(ISNUMBER(J26),ISNUMBER(L26)), J26*L26, 0)</f>
      </c>
      <c r="N26" s="19">
        <f>IF(AND(ISNUMBER(J26),ISNUMBER(L26)), (J26*L26)-J26, 0)</f>
      </c>
      <c r="O26" s="22">
        <f>IF(H26="Ganada", M26-J26, IF(H26="Perdida", -J26, IF(OR(H26="Cancelada",H26="Reembolsada",H26="Pendiente"), 0, 0)))</f>
      </c>
      <c r="P26" s="19">
        <f>IF(H26="Pendiente", I26, IF(ISNUMBER(I26), I26+O26, I26))</f>
      </c>
      <c r="Q26" s="20">
        <f>IF(AND(ISNUMBER(J26),J26&gt;0), O26/J26, 0)</f>
      </c>
      <c r="R26" s="20">
        <f>IF(AND(ISNUMBER(I26),I26&gt;0,ISNUMBER(J26)), J26/I26, 0)</f>
      </c>
      <c r="S26" s="22">
        <f>IF(ISNUMBER(O26), SUM($O$6:O26), 0)</f>
      </c>
      <c r="T26" s="16">
        <f>IF(ISBLANK(H26), "", IF(R26&gt;GESTION_BANCA!$C$6, "🔴 EXCESO RIESGO", IF(R26&gt;GESTION_BANCA!$C$7, "🟡 PRECAUCIÓN", "🟢 DENTRO LÍMITE")))</f>
      </c>
      <c r="U26" s="17"/>
    </row>
    <row r="27" spans="1:21" x14ac:dyDescent="0.25">
      <c r="A27" s="16" t="s">
        <v>153</v>
      </c>
      <c r="B27" s="16"/>
      <c r="C27" s="16"/>
      <c r="D27" s="17"/>
      <c r="E27" s="17"/>
      <c r="F27" s="17"/>
      <c r="G27" s="17"/>
      <c r="H27" s="16"/>
      <c r="I27" s="19">
        <f>P26</f>
      </c>
      <c r="J27" s="19"/>
      <c r="K27" s="20">
        <f>IF(AND(ISNUMBER(I27),I27&gt;0,ISNUMBER(J27)), J27/I27, 0)</f>
      </c>
      <c r="L27" s="21"/>
      <c r="M27" s="19">
        <f>IF(AND(ISNUMBER(J27),ISNUMBER(L27)), J27*L27, 0)</f>
      </c>
      <c r="N27" s="19">
        <f>IF(AND(ISNUMBER(J27),ISNUMBER(L27)), (J27*L27)-J27, 0)</f>
      </c>
      <c r="O27" s="22">
        <f>IF(H27="Ganada", M27-J27, IF(H27="Perdida", -J27, IF(OR(H27="Cancelada",H27="Reembolsada",H27="Pendiente"), 0, 0)))</f>
      </c>
      <c r="P27" s="19">
        <f>IF(H27="Pendiente", I27, IF(ISNUMBER(I27), I27+O27, I27))</f>
      </c>
      <c r="Q27" s="20">
        <f>IF(AND(ISNUMBER(J27),J27&gt;0), O27/J27, 0)</f>
      </c>
      <c r="R27" s="20">
        <f>IF(AND(ISNUMBER(I27),I27&gt;0,ISNUMBER(J27)), J27/I27, 0)</f>
      </c>
      <c r="S27" s="22">
        <f>IF(ISNUMBER(O27), SUM($O$6:O27), 0)</f>
      </c>
      <c r="T27" s="16">
        <f>IF(ISBLANK(H27), "", IF(R27&gt;GESTION_BANCA!$C$6, "🔴 EXCESO RIESGO", IF(R27&gt;GESTION_BANCA!$C$7, "🟡 PRECAUCIÓN", "🟢 DENTRO LÍMITE")))</f>
      </c>
      <c r="U27" s="17"/>
    </row>
    <row r="28" spans="1:21" x14ac:dyDescent="0.25">
      <c r="A28" s="16" t="s">
        <v>154</v>
      </c>
      <c r="B28" s="16"/>
      <c r="C28" s="16"/>
      <c r="D28" s="17"/>
      <c r="E28" s="17"/>
      <c r="F28" s="17"/>
      <c r="G28" s="17"/>
      <c r="H28" s="16"/>
      <c r="I28" s="19">
        <f>P27</f>
      </c>
      <c r="J28" s="19"/>
      <c r="K28" s="20">
        <f>IF(AND(ISNUMBER(I28),I28&gt;0,ISNUMBER(J28)), J28/I28, 0)</f>
      </c>
      <c r="L28" s="21"/>
      <c r="M28" s="19">
        <f>IF(AND(ISNUMBER(J28),ISNUMBER(L28)), J28*L28, 0)</f>
      </c>
      <c r="N28" s="19">
        <f>IF(AND(ISNUMBER(J28),ISNUMBER(L28)), (J28*L28)-J28, 0)</f>
      </c>
      <c r="O28" s="22">
        <f>IF(H28="Ganada", M28-J28, IF(H28="Perdida", -J28, IF(OR(H28="Cancelada",H28="Reembolsada",H28="Pendiente"), 0, 0)))</f>
      </c>
      <c r="P28" s="19">
        <f>IF(H28="Pendiente", I28, IF(ISNUMBER(I28), I28+O28, I28))</f>
      </c>
      <c r="Q28" s="20">
        <f>IF(AND(ISNUMBER(J28),J28&gt;0), O28/J28, 0)</f>
      </c>
      <c r="R28" s="20">
        <f>IF(AND(ISNUMBER(I28),I28&gt;0,ISNUMBER(J28)), J28/I28, 0)</f>
      </c>
      <c r="S28" s="22">
        <f>IF(ISNUMBER(O28), SUM($O$6:O28), 0)</f>
      </c>
      <c r="T28" s="16">
        <f>IF(ISBLANK(H28), "", IF(R28&gt;GESTION_BANCA!$C$6, "🔴 EXCESO RIESGO", IF(R28&gt;GESTION_BANCA!$C$7, "🟡 PRECAUCIÓN", "🟢 DENTRO LÍMITE")))</f>
      </c>
      <c r="U28" s="17"/>
    </row>
    <row r="29" spans="1:21" x14ac:dyDescent="0.25">
      <c r="A29" s="16" t="s">
        <v>155</v>
      </c>
      <c r="B29" s="16"/>
      <c r="C29" s="16"/>
      <c r="D29" s="17"/>
      <c r="E29" s="17"/>
      <c r="F29" s="17"/>
      <c r="G29" s="17"/>
      <c r="H29" s="16"/>
      <c r="I29" s="19">
        <f>P28</f>
      </c>
      <c r="J29" s="19"/>
      <c r="K29" s="20">
        <f>IF(AND(ISNUMBER(I29),I29&gt;0,ISNUMBER(J29)), J29/I29, 0)</f>
      </c>
      <c r="L29" s="21"/>
      <c r="M29" s="19">
        <f>IF(AND(ISNUMBER(J29),ISNUMBER(L29)), J29*L29, 0)</f>
      </c>
      <c r="N29" s="19">
        <f>IF(AND(ISNUMBER(J29),ISNUMBER(L29)), (J29*L29)-J29, 0)</f>
      </c>
      <c r="O29" s="22">
        <f>IF(H29="Ganada", M29-J29, IF(H29="Perdida", -J29, IF(OR(H29="Cancelada",H29="Reembolsada",H29="Pendiente"), 0, 0)))</f>
      </c>
      <c r="P29" s="19">
        <f>IF(H29="Pendiente", I29, IF(ISNUMBER(I29), I29+O29, I29))</f>
      </c>
      <c r="Q29" s="20">
        <f>IF(AND(ISNUMBER(J29),J29&gt;0), O29/J29, 0)</f>
      </c>
      <c r="R29" s="20">
        <f>IF(AND(ISNUMBER(I29),I29&gt;0,ISNUMBER(J29)), J29/I29, 0)</f>
      </c>
      <c r="S29" s="22">
        <f>IF(ISNUMBER(O29), SUM($O$6:O29), 0)</f>
      </c>
      <c r="T29" s="16">
        <f>IF(ISBLANK(H29), "", IF(R29&gt;GESTION_BANCA!$C$6, "🔴 EXCESO RIESGO", IF(R29&gt;GESTION_BANCA!$C$7, "🟡 PRECAUCIÓN", "🟢 DENTRO LÍMITE")))</f>
      </c>
      <c r="U29" s="17"/>
    </row>
    <row r="30" spans="1:21" x14ac:dyDescent="0.25">
      <c r="A30" s="16" t="s">
        <v>156</v>
      </c>
      <c r="B30" s="16"/>
      <c r="C30" s="16"/>
      <c r="D30" s="17"/>
      <c r="E30" s="17"/>
      <c r="F30" s="17"/>
      <c r="G30" s="17"/>
      <c r="H30" s="16"/>
      <c r="I30" s="19">
        <f>P29</f>
      </c>
      <c r="J30" s="19"/>
      <c r="K30" s="20">
        <f>IF(AND(ISNUMBER(I30),I30&gt;0,ISNUMBER(J30)), J30/I30, 0)</f>
      </c>
      <c r="L30" s="21"/>
      <c r="M30" s="19">
        <f>IF(AND(ISNUMBER(J30),ISNUMBER(L30)), J30*L30, 0)</f>
      </c>
      <c r="N30" s="19">
        <f>IF(AND(ISNUMBER(J30),ISNUMBER(L30)), (J30*L30)-J30, 0)</f>
      </c>
      <c r="O30" s="22">
        <f>IF(H30="Ganada", M30-J30, IF(H30="Perdida", -J30, IF(OR(H30="Cancelada",H30="Reembolsada",H30="Pendiente"), 0, 0)))</f>
      </c>
      <c r="P30" s="19">
        <f>IF(H30="Pendiente", I30, IF(ISNUMBER(I30), I30+O30, I30))</f>
      </c>
      <c r="Q30" s="20">
        <f>IF(AND(ISNUMBER(J30),J30&gt;0), O30/J30, 0)</f>
      </c>
      <c r="R30" s="20">
        <f>IF(AND(ISNUMBER(I30),I30&gt;0,ISNUMBER(J30)), J30/I30, 0)</f>
      </c>
      <c r="S30" s="22">
        <f>IF(ISNUMBER(O30), SUM($O$6:O30), 0)</f>
      </c>
      <c r="T30" s="16">
        <f>IF(ISBLANK(H30), "", IF(R30&gt;GESTION_BANCA!$C$6, "🔴 EXCESO RIESGO", IF(R30&gt;GESTION_BANCA!$C$7, "🟡 PRECAUCIÓN", "🟢 DENTRO LÍMITE")))</f>
      </c>
      <c r="U30" s="17"/>
    </row>
    <row r="31" spans="1:21" x14ac:dyDescent="0.25">
      <c r="A31" s="16" t="s">
        <v>157</v>
      </c>
      <c r="B31" s="16"/>
      <c r="C31" s="16"/>
      <c r="D31" s="17"/>
      <c r="E31" s="17"/>
      <c r="F31" s="17"/>
      <c r="G31" s="17"/>
      <c r="H31" s="16"/>
      <c r="I31" s="19">
        <f>P30</f>
      </c>
      <c r="J31" s="19"/>
      <c r="K31" s="20">
        <f>IF(AND(ISNUMBER(I31),I31&gt;0,ISNUMBER(J31)), J31/I31, 0)</f>
      </c>
      <c r="L31" s="21"/>
      <c r="M31" s="19">
        <f>IF(AND(ISNUMBER(J31),ISNUMBER(L31)), J31*L31, 0)</f>
      </c>
      <c r="N31" s="19">
        <f>IF(AND(ISNUMBER(J31),ISNUMBER(L31)), (J31*L31)-J31, 0)</f>
      </c>
      <c r="O31" s="22">
        <f>IF(H31="Ganada", M31-J31, IF(H31="Perdida", -J31, IF(OR(H31="Cancelada",H31="Reembolsada",H31="Pendiente"), 0, 0)))</f>
      </c>
      <c r="P31" s="19">
        <f>IF(H31="Pendiente", I31, IF(ISNUMBER(I31), I31+O31, I31))</f>
      </c>
      <c r="Q31" s="20">
        <f>IF(AND(ISNUMBER(J31),J31&gt;0), O31/J31, 0)</f>
      </c>
      <c r="R31" s="20">
        <f>IF(AND(ISNUMBER(I31),I31&gt;0,ISNUMBER(J31)), J31/I31, 0)</f>
      </c>
      <c r="S31" s="22">
        <f>IF(ISNUMBER(O31), SUM($O$6:O31), 0)</f>
      </c>
      <c r="T31" s="16">
        <f>IF(ISBLANK(H31), "", IF(R31&gt;GESTION_BANCA!$C$6, "🔴 EXCESO RIESGO", IF(R31&gt;GESTION_BANCA!$C$7, "🟡 PRECAUCIÓN", "🟢 DENTRO LÍMITE")))</f>
      </c>
      <c r="U31" s="17"/>
    </row>
    <row r="32" spans="1:21" x14ac:dyDescent="0.25">
      <c r="A32" s="16" t="s">
        <v>158</v>
      </c>
      <c r="B32" s="16"/>
      <c r="C32" s="16"/>
      <c r="D32" s="17"/>
      <c r="E32" s="17"/>
      <c r="F32" s="17"/>
      <c r="G32" s="17"/>
      <c r="H32" s="16"/>
      <c r="I32" s="19">
        <f>P31</f>
      </c>
      <c r="J32" s="19"/>
      <c r="K32" s="20">
        <f>IF(AND(ISNUMBER(I32),I32&gt;0,ISNUMBER(J32)), J32/I32, 0)</f>
      </c>
      <c r="L32" s="21"/>
      <c r="M32" s="19">
        <f>IF(AND(ISNUMBER(J32),ISNUMBER(L32)), J32*L32, 0)</f>
      </c>
      <c r="N32" s="19">
        <f>IF(AND(ISNUMBER(J32),ISNUMBER(L32)), (J32*L32)-J32, 0)</f>
      </c>
      <c r="O32" s="22">
        <f>IF(H32="Ganada", M32-J32, IF(H32="Perdida", -J32, IF(OR(H32="Cancelada",H32="Reembolsada",H32="Pendiente"), 0, 0)))</f>
      </c>
      <c r="P32" s="19">
        <f>IF(H32="Pendiente", I32, IF(ISNUMBER(I32), I32+O32, I32))</f>
      </c>
      <c r="Q32" s="20">
        <f>IF(AND(ISNUMBER(J32),J32&gt;0), O32/J32, 0)</f>
      </c>
      <c r="R32" s="20">
        <f>IF(AND(ISNUMBER(I32),I32&gt;0,ISNUMBER(J32)), J32/I32, 0)</f>
      </c>
      <c r="S32" s="22">
        <f>IF(ISNUMBER(O32), SUM($O$6:O32), 0)</f>
      </c>
      <c r="T32" s="16">
        <f>IF(ISBLANK(H32), "", IF(R32&gt;GESTION_BANCA!$C$6, "🔴 EXCESO RIESGO", IF(R32&gt;GESTION_BANCA!$C$7, "🟡 PRECAUCIÓN", "🟢 DENTRO LÍMITE")))</f>
      </c>
      <c r="U32" s="17"/>
    </row>
    <row r="33" spans="1:21" x14ac:dyDescent="0.25">
      <c r="A33" s="16" t="s">
        <v>159</v>
      </c>
      <c r="B33" s="16"/>
      <c r="C33" s="16"/>
      <c r="D33" s="17"/>
      <c r="E33" s="17"/>
      <c r="F33" s="17"/>
      <c r="G33" s="17"/>
      <c r="H33" s="16"/>
      <c r="I33" s="19">
        <f>P32</f>
      </c>
      <c r="J33" s="19"/>
      <c r="K33" s="20">
        <f>IF(AND(ISNUMBER(I33),I33&gt;0,ISNUMBER(J33)), J33/I33, 0)</f>
      </c>
      <c r="L33" s="21"/>
      <c r="M33" s="19">
        <f>IF(AND(ISNUMBER(J33),ISNUMBER(L33)), J33*L33, 0)</f>
      </c>
      <c r="N33" s="19">
        <f>IF(AND(ISNUMBER(J33),ISNUMBER(L33)), (J33*L33)-J33, 0)</f>
      </c>
      <c r="O33" s="22">
        <f>IF(H33="Ganada", M33-J33, IF(H33="Perdida", -J33, IF(OR(H33="Cancelada",H33="Reembolsada",H33="Pendiente"), 0, 0)))</f>
      </c>
      <c r="P33" s="19">
        <f>IF(H33="Pendiente", I33, IF(ISNUMBER(I33), I33+O33, I33))</f>
      </c>
      <c r="Q33" s="20">
        <f>IF(AND(ISNUMBER(J33),J33&gt;0), O33/J33, 0)</f>
      </c>
      <c r="R33" s="20">
        <f>IF(AND(ISNUMBER(I33),I33&gt;0,ISNUMBER(J33)), J33/I33, 0)</f>
      </c>
      <c r="S33" s="22">
        <f>IF(ISNUMBER(O33), SUM($O$6:O33), 0)</f>
      </c>
      <c r="T33" s="16">
        <f>IF(ISBLANK(H33), "", IF(R33&gt;GESTION_BANCA!$C$6, "🔴 EXCESO RIESGO", IF(R33&gt;GESTION_BANCA!$C$7, "🟡 PRECAUCIÓN", "🟢 DENTRO LÍMITE")))</f>
      </c>
      <c r="U33" s="17"/>
    </row>
    <row r="34" spans="1:21" x14ac:dyDescent="0.25">
      <c r="A34" s="16" t="s">
        <v>160</v>
      </c>
      <c r="B34" s="16"/>
      <c r="C34" s="16"/>
      <c r="D34" s="17"/>
      <c r="E34" s="17"/>
      <c r="F34" s="17"/>
      <c r="G34" s="17"/>
      <c r="H34" s="16"/>
      <c r="I34" s="19">
        <f>P33</f>
      </c>
      <c r="J34" s="19"/>
      <c r="K34" s="20">
        <f>IF(AND(ISNUMBER(I34),I34&gt;0,ISNUMBER(J34)), J34/I34, 0)</f>
      </c>
      <c r="L34" s="21"/>
      <c r="M34" s="19">
        <f>IF(AND(ISNUMBER(J34),ISNUMBER(L34)), J34*L34, 0)</f>
      </c>
      <c r="N34" s="19">
        <f>IF(AND(ISNUMBER(J34),ISNUMBER(L34)), (J34*L34)-J34, 0)</f>
      </c>
      <c r="O34" s="22">
        <f>IF(H34="Ganada", M34-J34, IF(H34="Perdida", -J34, IF(OR(H34="Cancelada",H34="Reembolsada",H34="Pendiente"), 0, 0)))</f>
      </c>
      <c r="P34" s="19">
        <f>IF(H34="Pendiente", I34, IF(ISNUMBER(I34), I34+O34, I34))</f>
      </c>
      <c r="Q34" s="20">
        <f>IF(AND(ISNUMBER(J34),J34&gt;0), O34/J34, 0)</f>
      </c>
      <c r="R34" s="20">
        <f>IF(AND(ISNUMBER(I34),I34&gt;0,ISNUMBER(J34)), J34/I34, 0)</f>
      </c>
      <c r="S34" s="22">
        <f>IF(ISNUMBER(O34), SUM($O$6:O34), 0)</f>
      </c>
      <c r="T34" s="16">
        <f>IF(ISBLANK(H34), "", IF(R34&gt;GESTION_BANCA!$C$6, "🔴 EXCESO RIESGO", IF(R34&gt;GESTION_BANCA!$C$7, "🟡 PRECAUCIÓN", "🟢 DENTRO LÍMITE")))</f>
      </c>
      <c r="U34" s="17"/>
    </row>
    <row r="35" spans="1:21" x14ac:dyDescent="0.25">
      <c r="A35" s="16" t="s">
        <v>161</v>
      </c>
      <c r="B35" s="16"/>
      <c r="C35" s="16"/>
      <c r="D35" s="17"/>
      <c r="E35" s="17"/>
      <c r="F35" s="17"/>
      <c r="G35" s="17"/>
      <c r="H35" s="16"/>
      <c r="I35" s="19">
        <f>P34</f>
      </c>
      <c r="J35" s="19"/>
      <c r="K35" s="20">
        <f>IF(AND(ISNUMBER(I35),I35&gt;0,ISNUMBER(J35)), J35/I35, 0)</f>
      </c>
      <c r="L35" s="21"/>
      <c r="M35" s="19">
        <f>IF(AND(ISNUMBER(J35),ISNUMBER(L35)), J35*L35, 0)</f>
      </c>
      <c r="N35" s="19">
        <f>IF(AND(ISNUMBER(J35),ISNUMBER(L35)), (J35*L35)-J35, 0)</f>
      </c>
      <c r="O35" s="22">
        <f>IF(H35="Ganada", M35-J35, IF(H35="Perdida", -J35, IF(OR(H35="Cancelada",H35="Reembolsada",H35="Pendiente"), 0, 0)))</f>
      </c>
      <c r="P35" s="19">
        <f>IF(H35="Pendiente", I35, IF(ISNUMBER(I35), I35+O35, I35))</f>
      </c>
      <c r="Q35" s="20">
        <f>IF(AND(ISNUMBER(J35),J35&gt;0), O35/J35, 0)</f>
      </c>
      <c r="R35" s="20">
        <f>IF(AND(ISNUMBER(I35),I35&gt;0,ISNUMBER(J35)), J35/I35, 0)</f>
      </c>
      <c r="S35" s="22">
        <f>IF(ISNUMBER(O35), SUM($O$6:O35), 0)</f>
      </c>
      <c r="T35" s="16">
        <f>IF(ISBLANK(H35), "", IF(R35&gt;GESTION_BANCA!$C$6, "🔴 EXCESO RIESGO", IF(R35&gt;GESTION_BANCA!$C$7, "🟡 PRECAUCIÓN", "🟢 DENTRO LÍMITE")))</f>
      </c>
      <c r="U35" s="17"/>
    </row>
    <row r="36" spans="1:21" x14ac:dyDescent="0.25">
      <c r="A36" s="16" t="s">
        <v>162</v>
      </c>
      <c r="B36" s="16"/>
      <c r="C36" s="16"/>
      <c r="D36" s="17"/>
      <c r="E36" s="17"/>
      <c r="F36" s="17"/>
      <c r="G36" s="17"/>
      <c r="H36" s="16"/>
      <c r="I36" s="19">
        <f>P35</f>
      </c>
      <c r="J36" s="19"/>
      <c r="K36" s="20">
        <f>IF(AND(ISNUMBER(I36),I36&gt;0,ISNUMBER(J36)), J36/I36, 0)</f>
      </c>
      <c r="L36" s="21"/>
      <c r="M36" s="19">
        <f>IF(AND(ISNUMBER(J36),ISNUMBER(L36)), J36*L36, 0)</f>
      </c>
      <c r="N36" s="19">
        <f>IF(AND(ISNUMBER(J36),ISNUMBER(L36)), (J36*L36)-J36, 0)</f>
      </c>
      <c r="O36" s="22">
        <f>IF(H36="Ganada", M36-J36, IF(H36="Perdida", -J36, IF(OR(H36="Cancelada",H36="Reembolsada",H36="Pendiente"), 0, 0)))</f>
      </c>
      <c r="P36" s="19">
        <f>IF(H36="Pendiente", I36, IF(ISNUMBER(I36), I36+O36, I36))</f>
      </c>
      <c r="Q36" s="20">
        <f>IF(AND(ISNUMBER(J36),J36&gt;0), O36/J36, 0)</f>
      </c>
      <c r="R36" s="20">
        <f>IF(AND(ISNUMBER(I36),I36&gt;0,ISNUMBER(J36)), J36/I36, 0)</f>
      </c>
      <c r="S36" s="22">
        <f>IF(ISNUMBER(O36), SUM($O$6:O36), 0)</f>
      </c>
      <c r="T36" s="16">
        <f>IF(ISBLANK(H36), "", IF(R36&gt;GESTION_BANCA!$C$6, "🔴 EXCESO RIESGO", IF(R36&gt;GESTION_BANCA!$C$7, "🟡 PRECAUCIÓN", "🟢 DENTRO LÍMITE")))</f>
      </c>
      <c r="U36" s="17"/>
    </row>
    <row r="37" spans="1:21" x14ac:dyDescent="0.25">
      <c r="A37" s="16" t="s">
        <v>163</v>
      </c>
      <c r="B37" s="16"/>
      <c r="C37" s="16"/>
      <c r="D37" s="17"/>
      <c r="E37" s="17"/>
      <c r="F37" s="17"/>
      <c r="G37" s="17"/>
      <c r="H37" s="16"/>
      <c r="I37" s="19">
        <f>P36</f>
      </c>
      <c r="J37" s="19"/>
      <c r="K37" s="20">
        <f>IF(AND(ISNUMBER(I37),I37&gt;0,ISNUMBER(J37)), J37/I37, 0)</f>
      </c>
      <c r="L37" s="21"/>
      <c r="M37" s="19">
        <f>IF(AND(ISNUMBER(J37),ISNUMBER(L37)), J37*L37, 0)</f>
      </c>
      <c r="N37" s="19">
        <f>IF(AND(ISNUMBER(J37),ISNUMBER(L37)), (J37*L37)-J37, 0)</f>
      </c>
      <c r="O37" s="22">
        <f>IF(H37="Ganada", M37-J37, IF(H37="Perdida", -J37, IF(OR(H37="Cancelada",H37="Reembolsada",H37="Pendiente"), 0, 0)))</f>
      </c>
      <c r="P37" s="19">
        <f>IF(H37="Pendiente", I37, IF(ISNUMBER(I37), I37+O37, I37))</f>
      </c>
      <c r="Q37" s="20">
        <f>IF(AND(ISNUMBER(J37),J37&gt;0), O37/J37, 0)</f>
      </c>
      <c r="R37" s="20">
        <f>IF(AND(ISNUMBER(I37),I37&gt;0,ISNUMBER(J37)), J37/I37, 0)</f>
      </c>
      <c r="S37" s="22">
        <f>IF(ISNUMBER(O37), SUM($O$6:O37), 0)</f>
      </c>
      <c r="T37" s="16">
        <f>IF(ISBLANK(H37), "", IF(R37&gt;GESTION_BANCA!$C$6, "🔴 EXCESO RIESGO", IF(R37&gt;GESTION_BANCA!$C$7, "🟡 PRECAUCIÓN", "🟢 DENTRO LÍMITE")))</f>
      </c>
      <c r="U37" s="17"/>
    </row>
    <row r="38" spans="1:21" x14ac:dyDescent="0.25">
      <c r="A38" s="16" t="s">
        <v>164</v>
      </c>
      <c r="B38" s="16"/>
      <c r="C38" s="16"/>
      <c r="D38" s="17"/>
      <c r="E38" s="17"/>
      <c r="F38" s="17"/>
      <c r="G38" s="17"/>
      <c r="H38" s="16"/>
      <c r="I38" s="19">
        <f>P37</f>
      </c>
      <c r="J38" s="19"/>
      <c r="K38" s="20">
        <f>IF(AND(ISNUMBER(I38),I38&gt;0,ISNUMBER(J38)), J38/I38, 0)</f>
      </c>
      <c r="L38" s="21"/>
      <c r="M38" s="19">
        <f>IF(AND(ISNUMBER(J38),ISNUMBER(L38)), J38*L38, 0)</f>
      </c>
      <c r="N38" s="19">
        <f>IF(AND(ISNUMBER(J38),ISNUMBER(L38)), (J38*L38)-J38, 0)</f>
      </c>
      <c r="O38" s="22">
        <f>IF(H38="Ganada", M38-J38, IF(H38="Perdida", -J38, IF(OR(H38="Cancelada",H38="Reembolsada",H38="Pendiente"), 0, 0)))</f>
      </c>
      <c r="P38" s="19">
        <f>IF(H38="Pendiente", I38, IF(ISNUMBER(I38), I38+O38, I38))</f>
      </c>
      <c r="Q38" s="20">
        <f>IF(AND(ISNUMBER(J38),J38&gt;0), O38/J38, 0)</f>
      </c>
      <c r="R38" s="20">
        <f>IF(AND(ISNUMBER(I38),I38&gt;0,ISNUMBER(J38)), J38/I38, 0)</f>
      </c>
      <c r="S38" s="22">
        <f>IF(ISNUMBER(O38), SUM($O$6:O38), 0)</f>
      </c>
      <c r="T38" s="16">
        <f>IF(ISBLANK(H38), "", IF(R38&gt;GESTION_BANCA!$C$6, "🔴 EXCESO RIESGO", IF(R38&gt;GESTION_BANCA!$C$7, "🟡 PRECAUCIÓN", "🟢 DENTRO LÍMITE")))</f>
      </c>
      <c r="U38" s="17"/>
    </row>
    <row r="39" spans="1:21" x14ac:dyDescent="0.25">
      <c r="A39" s="16" t="s">
        <v>165</v>
      </c>
      <c r="B39" s="16"/>
      <c r="C39" s="16"/>
      <c r="D39" s="17"/>
      <c r="E39" s="17"/>
      <c r="F39" s="17"/>
      <c r="G39" s="17"/>
      <c r="H39" s="16"/>
      <c r="I39" s="19">
        <f>P38</f>
      </c>
      <c r="J39" s="19"/>
      <c r="K39" s="20">
        <f>IF(AND(ISNUMBER(I39),I39&gt;0,ISNUMBER(J39)), J39/I39, 0)</f>
      </c>
      <c r="L39" s="21"/>
      <c r="M39" s="19">
        <f>IF(AND(ISNUMBER(J39),ISNUMBER(L39)), J39*L39, 0)</f>
      </c>
      <c r="N39" s="19">
        <f>IF(AND(ISNUMBER(J39),ISNUMBER(L39)), (J39*L39)-J39, 0)</f>
      </c>
      <c r="O39" s="22">
        <f>IF(H39="Ganada", M39-J39, IF(H39="Perdida", -J39, IF(OR(H39="Cancelada",H39="Reembolsada",H39="Pendiente"), 0, 0)))</f>
      </c>
      <c r="P39" s="19">
        <f>IF(H39="Pendiente", I39, IF(ISNUMBER(I39), I39+O39, I39))</f>
      </c>
      <c r="Q39" s="20">
        <f>IF(AND(ISNUMBER(J39),J39&gt;0), O39/J39, 0)</f>
      </c>
      <c r="R39" s="20">
        <f>IF(AND(ISNUMBER(I39),I39&gt;0,ISNUMBER(J39)), J39/I39, 0)</f>
      </c>
      <c r="S39" s="22">
        <f>IF(ISNUMBER(O39), SUM($O$6:O39), 0)</f>
      </c>
      <c r="T39" s="16">
        <f>IF(ISBLANK(H39), "", IF(R39&gt;GESTION_BANCA!$C$6, "🔴 EXCESO RIESGO", IF(R39&gt;GESTION_BANCA!$C$7, "🟡 PRECAUCIÓN", "🟢 DENTRO LÍMITE")))</f>
      </c>
      <c r="U39" s="17"/>
    </row>
    <row r="40" spans="1:21" x14ac:dyDescent="0.25">
      <c r="A40" s="16" t="s">
        <v>166</v>
      </c>
      <c r="B40" s="16"/>
      <c r="C40" s="16"/>
      <c r="D40" s="17"/>
      <c r="E40" s="17"/>
      <c r="F40" s="17"/>
      <c r="G40" s="17"/>
      <c r="H40" s="16"/>
      <c r="I40" s="19">
        <f>P39</f>
      </c>
      <c r="J40" s="19"/>
      <c r="K40" s="20">
        <f>IF(AND(ISNUMBER(I40),I40&gt;0,ISNUMBER(J40)), J40/I40, 0)</f>
      </c>
      <c r="L40" s="21"/>
      <c r="M40" s="19">
        <f>IF(AND(ISNUMBER(J40),ISNUMBER(L40)), J40*L40, 0)</f>
      </c>
      <c r="N40" s="19">
        <f>IF(AND(ISNUMBER(J40),ISNUMBER(L40)), (J40*L40)-J40, 0)</f>
      </c>
      <c r="O40" s="22">
        <f>IF(H40="Ganada", M40-J40, IF(H40="Perdida", -J40, IF(OR(H40="Cancelada",H40="Reembolsada",H40="Pendiente"), 0, 0)))</f>
      </c>
      <c r="P40" s="19">
        <f>IF(H40="Pendiente", I40, IF(ISNUMBER(I40), I40+O40, I40))</f>
      </c>
      <c r="Q40" s="20">
        <f>IF(AND(ISNUMBER(J40),J40&gt;0), O40/J40, 0)</f>
      </c>
      <c r="R40" s="20">
        <f>IF(AND(ISNUMBER(I40),I40&gt;0,ISNUMBER(J40)), J40/I40, 0)</f>
      </c>
      <c r="S40" s="22">
        <f>IF(ISNUMBER(O40), SUM($O$6:O40), 0)</f>
      </c>
      <c r="T40" s="16">
        <f>IF(ISBLANK(H40), "", IF(R40&gt;GESTION_BANCA!$C$6, "🔴 EXCESO RIESGO", IF(R40&gt;GESTION_BANCA!$C$7, "🟡 PRECAUCIÓN", "🟢 DENTRO LÍMITE")))</f>
      </c>
      <c r="U40" s="17"/>
    </row>
    <row r="41" spans="1:21" x14ac:dyDescent="0.25">
      <c r="A41" s="16" t="s">
        <v>167</v>
      </c>
      <c r="B41" s="16"/>
      <c r="C41" s="16"/>
      <c r="D41" s="17"/>
      <c r="E41" s="17"/>
      <c r="F41" s="17"/>
      <c r="G41" s="17"/>
      <c r="H41" s="16"/>
      <c r="I41" s="19">
        <f>P40</f>
      </c>
      <c r="J41" s="19"/>
      <c r="K41" s="20">
        <f>IF(AND(ISNUMBER(I41),I41&gt;0,ISNUMBER(J41)), J41/I41, 0)</f>
      </c>
      <c r="L41" s="21"/>
      <c r="M41" s="19">
        <f>IF(AND(ISNUMBER(J41),ISNUMBER(L41)), J41*L41, 0)</f>
      </c>
      <c r="N41" s="19">
        <f>IF(AND(ISNUMBER(J41),ISNUMBER(L41)), (J41*L41)-J41, 0)</f>
      </c>
      <c r="O41" s="22">
        <f>IF(H41="Ganada", M41-J41, IF(H41="Perdida", -J41, IF(OR(H41="Cancelada",H41="Reembolsada",H41="Pendiente"), 0, 0)))</f>
      </c>
      <c r="P41" s="19">
        <f>IF(H41="Pendiente", I41, IF(ISNUMBER(I41), I41+O41, I41))</f>
      </c>
      <c r="Q41" s="20">
        <f>IF(AND(ISNUMBER(J41),J41&gt;0), O41/J41, 0)</f>
      </c>
      <c r="R41" s="20">
        <f>IF(AND(ISNUMBER(I41),I41&gt;0,ISNUMBER(J41)), J41/I41, 0)</f>
      </c>
      <c r="S41" s="22">
        <f>IF(ISNUMBER(O41), SUM($O$6:O41), 0)</f>
      </c>
      <c r="T41" s="16">
        <f>IF(ISBLANK(H41), "", IF(R41&gt;GESTION_BANCA!$C$6, "🔴 EXCESO RIESGO", IF(R41&gt;GESTION_BANCA!$C$7, "🟡 PRECAUCIÓN", "🟢 DENTRO LÍMITE")))</f>
      </c>
      <c r="U41" s="17"/>
    </row>
    <row r="42" spans="1:21" x14ac:dyDescent="0.25">
      <c r="A42" s="16" t="s">
        <v>168</v>
      </c>
      <c r="B42" s="16"/>
      <c r="C42" s="16"/>
      <c r="D42" s="17"/>
      <c r="E42" s="17"/>
      <c r="F42" s="17"/>
      <c r="G42" s="17"/>
      <c r="H42" s="16"/>
      <c r="I42" s="19">
        <f>P41</f>
      </c>
      <c r="J42" s="19"/>
      <c r="K42" s="20">
        <f>IF(AND(ISNUMBER(I42),I42&gt;0,ISNUMBER(J42)), J42/I42, 0)</f>
      </c>
      <c r="L42" s="21"/>
      <c r="M42" s="19">
        <f>IF(AND(ISNUMBER(J42),ISNUMBER(L42)), J42*L42, 0)</f>
      </c>
      <c r="N42" s="19">
        <f>IF(AND(ISNUMBER(J42),ISNUMBER(L42)), (J42*L42)-J42, 0)</f>
      </c>
      <c r="O42" s="22">
        <f>IF(H42="Ganada", M42-J42, IF(H42="Perdida", -J42, IF(OR(H42="Cancelada",H42="Reembolsada",H42="Pendiente"), 0, 0)))</f>
      </c>
      <c r="P42" s="19">
        <f>IF(H42="Pendiente", I42, IF(ISNUMBER(I42), I42+O42, I42))</f>
      </c>
      <c r="Q42" s="20">
        <f>IF(AND(ISNUMBER(J42),J42&gt;0), O42/J42, 0)</f>
      </c>
      <c r="R42" s="20">
        <f>IF(AND(ISNUMBER(I42),I42&gt;0,ISNUMBER(J42)), J42/I42, 0)</f>
      </c>
      <c r="S42" s="22">
        <f>IF(ISNUMBER(O42), SUM($O$6:O42), 0)</f>
      </c>
      <c r="T42" s="16">
        <f>IF(ISBLANK(H42), "", IF(R42&gt;GESTION_BANCA!$C$6, "🔴 EXCESO RIESGO", IF(R42&gt;GESTION_BANCA!$C$7, "🟡 PRECAUCIÓN", "🟢 DENTRO LÍMITE")))</f>
      </c>
      <c r="U42" s="17"/>
    </row>
    <row r="43" spans="1:21" x14ac:dyDescent="0.25">
      <c r="A43" s="16" t="s">
        <v>169</v>
      </c>
      <c r="B43" s="16"/>
      <c r="C43" s="16"/>
      <c r="D43" s="17"/>
      <c r="E43" s="17"/>
      <c r="F43" s="17"/>
      <c r="G43" s="17"/>
      <c r="H43" s="16"/>
      <c r="I43" s="19">
        <f>P42</f>
      </c>
      <c r="J43" s="19"/>
      <c r="K43" s="20">
        <f>IF(AND(ISNUMBER(I43),I43&gt;0,ISNUMBER(J43)), J43/I43, 0)</f>
      </c>
      <c r="L43" s="21"/>
      <c r="M43" s="19">
        <f>IF(AND(ISNUMBER(J43),ISNUMBER(L43)), J43*L43, 0)</f>
      </c>
      <c r="N43" s="19">
        <f>IF(AND(ISNUMBER(J43),ISNUMBER(L43)), (J43*L43)-J43, 0)</f>
      </c>
      <c r="O43" s="22">
        <f>IF(H43="Ganada", M43-J43, IF(H43="Perdida", -J43, IF(OR(H43="Cancelada",H43="Reembolsada",H43="Pendiente"), 0, 0)))</f>
      </c>
      <c r="P43" s="19">
        <f>IF(H43="Pendiente", I43, IF(ISNUMBER(I43), I43+O43, I43))</f>
      </c>
      <c r="Q43" s="20">
        <f>IF(AND(ISNUMBER(J43),J43&gt;0), O43/J43, 0)</f>
      </c>
      <c r="R43" s="20">
        <f>IF(AND(ISNUMBER(I43),I43&gt;0,ISNUMBER(J43)), J43/I43, 0)</f>
      </c>
      <c r="S43" s="22">
        <f>IF(ISNUMBER(O43), SUM($O$6:O43), 0)</f>
      </c>
      <c r="T43" s="16">
        <f>IF(ISBLANK(H43), "", IF(R43&gt;GESTION_BANCA!$C$6, "🔴 EXCESO RIESGO", IF(R43&gt;GESTION_BANCA!$C$7, "🟡 PRECAUCIÓN", "🟢 DENTRO LÍMITE")))</f>
      </c>
      <c r="U43" s="17"/>
    </row>
    <row r="44" spans="1:21" x14ac:dyDescent="0.25">
      <c r="A44" s="16" t="s">
        <v>170</v>
      </c>
      <c r="B44" s="16"/>
      <c r="C44" s="16"/>
      <c r="D44" s="17"/>
      <c r="E44" s="17"/>
      <c r="F44" s="17"/>
      <c r="G44" s="17"/>
      <c r="H44" s="16"/>
      <c r="I44" s="19">
        <f>P43</f>
      </c>
      <c r="J44" s="19"/>
      <c r="K44" s="20">
        <f>IF(AND(ISNUMBER(I44),I44&gt;0,ISNUMBER(J44)), J44/I44, 0)</f>
      </c>
      <c r="L44" s="21"/>
      <c r="M44" s="19">
        <f>IF(AND(ISNUMBER(J44),ISNUMBER(L44)), J44*L44, 0)</f>
      </c>
      <c r="N44" s="19">
        <f>IF(AND(ISNUMBER(J44),ISNUMBER(L44)), (J44*L44)-J44, 0)</f>
      </c>
      <c r="O44" s="22">
        <f>IF(H44="Ganada", M44-J44, IF(H44="Perdida", -J44, IF(OR(H44="Cancelada",H44="Reembolsada",H44="Pendiente"), 0, 0)))</f>
      </c>
      <c r="P44" s="19">
        <f>IF(H44="Pendiente", I44, IF(ISNUMBER(I44), I44+O44, I44))</f>
      </c>
      <c r="Q44" s="20">
        <f>IF(AND(ISNUMBER(J44),J44&gt;0), O44/J44, 0)</f>
      </c>
      <c r="R44" s="20">
        <f>IF(AND(ISNUMBER(I44),I44&gt;0,ISNUMBER(J44)), J44/I44, 0)</f>
      </c>
      <c r="S44" s="22">
        <f>IF(ISNUMBER(O44), SUM($O$6:O44), 0)</f>
      </c>
      <c r="T44" s="16">
        <f>IF(ISBLANK(H44), "", IF(R44&gt;GESTION_BANCA!$C$6, "🔴 EXCESO RIESGO", IF(R44&gt;GESTION_BANCA!$C$7, "🟡 PRECAUCIÓN", "🟢 DENTRO LÍMITE")))</f>
      </c>
      <c r="U44" s="17"/>
    </row>
    <row r="45" spans="1:21" x14ac:dyDescent="0.25">
      <c r="A45" s="16" t="s">
        <v>171</v>
      </c>
      <c r="B45" s="16"/>
      <c r="C45" s="16"/>
      <c r="D45" s="17"/>
      <c r="E45" s="17"/>
      <c r="F45" s="17"/>
      <c r="G45" s="17"/>
      <c r="H45" s="16"/>
      <c r="I45" s="19">
        <f>P44</f>
      </c>
      <c r="J45" s="19"/>
      <c r="K45" s="20">
        <f>IF(AND(ISNUMBER(I45),I45&gt;0,ISNUMBER(J45)), J45/I45, 0)</f>
      </c>
      <c r="L45" s="21"/>
      <c r="M45" s="19">
        <f>IF(AND(ISNUMBER(J45),ISNUMBER(L45)), J45*L45, 0)</f>
      </c>
      <c r="N45" s="19">
        <f>IF(AND(ISNUMBER(J45),ISNUMBER(L45)), (J45*L45)-J45, 0)</f>
      </c>
      <c r="O45" s="22">
        <f>IF(H45="Ganada", M45-J45, IF(H45="Perdida", -J45, IF(OR(H45="Cancelada",H45="Reembolsada",H45="Pendiente"), 0, 0)))</f>
      </c>
      <c r="P45" s="19">
        <f>IF(H45="Pendiente", I45, IF(ISNUMBER(I45), I45+O45, I45))</f>
      </c>
      <c r="Q45" s="20">
        <f>IF(AND(ISNUMBER(J45),J45&gt;0), O45/J45, 0)</f>
      </c>
      <c r="R45" s="20">
        <f>IF(AND(ISNUMBER(I45),I45&gt;0,ISNUMBER(J45)), J45/I45, 0)</f>
      </c>
      <c r="S45" s="22">
        <f>IF(ISNUMBER(O45), SUM($O$6:O45), 0)</f>
      </c>
      <c r="T45" s="16">
        <f>IF(ISBLANK(H45), "", IF(R45&gt;GESTION_BANCA!$C$6, "🔴 EXCESO RIESGO", IF(R45&gt;GESTION_BANCA!$C$7, "🟡 PRECAUCIÓN", "🟢 DENTRO LÍMITE")))</f>
      </c>
      <c r="U45" s="17"/>
    </row>
    <row r="46" spans="1:21" x14ac:dyDescent="0.25">
      <c r="A46" s="16" t="s">
        <v>172</v>
      </c>
      <c r="B46" s="16"/>
      <c r="C46" s="16"/>
      <c r="D46" s="17"/>
      <c r="E46" s="17"/>
      <c r="F46" s="17"/>
      <c r="G46" s="17"/>
      <c r="H46" s="16"/>
      <c r="I46" s="19">
        <f>P45</f>
      </c>
      <c r="J46" s="19"/>
      <c r="K46" s="20">
        <f>IF(AND(ISNUMBER(I46),I46&gt;0,ISNUMBER(J46)), J46/I46, 0)</f>
      </c>
      <c r="L46" s="21"/>
      <c r="M46" s="19">
        <f>IF(AND(ISNUMBER(J46),ISNUMBER(L46)), J46*L46, 0)</f>
      </c>
      <c r="N46" s="19">
        <f>IF(AND(ISNUMBER(J46),ISNUMBER(L46)), (J46*L46)-J46, 0)</f>
      </c>
      <c r="O46" s="22">
        <f>IF(H46="Ganada", M46-J46, IF(H46="Perdida", -J46, IF(OR(H46="Cancelada",H46="Reembolsada",H46="Pendiente"), 0, 0)))</f>
      </c>
      <c r="P46" s="19">
        <f>IF(H46="Pendiente", I46, IF(ISNUMBER(I46), I46+O46, I46))</f>
      </c>
      <c r="Q46" s="20">
        <f>IF(AND(ISNUMBER(J46),J46&gt;0), O46/J46, 0)</f>
      </c>
      <c r="R46" s="20">
        <f>IF(AND(ISNUMBER(I46),I46&gt;0,ISNUMBER(J46)), J46/I46, 0)</f>
      </c>
      <c r="S46" s="22">
        <f>IF(ISNUMBER(O46), SUM($O$6:O46), 0)</f>
      </c>
      <c r="T46" s="16">
        <f>IF(ISBLANK(H46), "", IF(R46&gt;GESTION_BANCA!$C$6, "🔴 EXCESO RIESGO", IF(R46&gt;GESTION_BANCA!$C$7, "🟡 PRECAUCIÓN", "🟢 DENTRO LÍMITE")))</f>
      </c>
      <c r="U46" s="17"/>
    </row>
    <row r="47" spans="1:21" x14ac:dyDescent="0.25">
      <c r="A47" s="16" t="s">
        <v>173</v>
      </c>
      <c r="B47" s="16"/>
      <c r="C47" s="16"/>
      <c r="D47" s="17"/>
      <c r="E47" s="17"/>
      <c r="F47" s="17"/>
      <c r="G47" s="17"/>
      <c r="H47" s="16"/>
      <c r="I47" s="19">
        <f>P46</f>
      </c>
      <c r="J47" s="19"/>
      <c r="K47" s="20">
        <f>IF(AND(ISNUMBER(I47),I47&gt;0,ISNUMBER(J47)), J47/I47, 0)</f>
      </c>
      <c r="L47" s="21"/>
      <c r="M47" s="19">
        <f>IF(AND(ISNUMBER(J47),ISNUMBER(L47)), J47*L47, 0)</f>
      </c>
      <c r="N47" s="19">
        <f>IF(AND(ISNUMBER(J47),ISNUMBER(L47)), (J47*L47)-J47, 0)</f>
      </c>
      <c r="O47" s="22">
        <f>IF(H47="Ganada", M47-J47, IF(H47="Perdida", -J47, IF(OR(H47="Cancelada",H47="Reembolsada",H47="Pendiente"), 0, 0)))</f>
      </c>
      <c r="P47" s="19">
        <f>IF(H47="Pendiente", I47, IF(ISNUMBER(I47), I47+O47, I47))</f>
      </c>
      <c r="Q47" s="20">
        <f>IF(AND(ISNUMBER(J47),J47&gt;0), O47/J47, 0)</f>
      </c>
      <c r="R47" s="20">
        <f>IF(AND(ISNUMBER(I47),I47&gt;0,ISNUMBER(J47)), J47/I47, 0)</f>
      </c>
      <c r="S47" s="22">
        <f>IF(ISNUMBER(O47), SUM($O$6:O47), 0)</f>
      </c>
      <c r="T47" s="16">
        <f>IF(ISBLANK(H47), "", IF(R47&gt;GESTION_BANCA!$C$6, "🔴 EXCESO RIESGO", IF(R47&gt;GESTION_BANCA!$C$7, "🟡 PRECAUCIÓN", "🟢 DENTRO LÍMITE")))</f>
      </c>
      <c r="U47" s="17"/>
    </row>
    <row r="48" spans="1:21" x14ac:dyDescent="0.25">
      <c r="A48" s="16" t="s">
        <v>174</v>
      </c>
      <c r="B48" s="16"/>
      <c r="C48" s="16"/>
      <c r="D48" s="17"/>
      <c r="E48" s="17"/>
      <c r="F48" s="17"/>
      <c r="G48" s="17"/>
      <c r="H48" s="16"/>
      <c r="I48" s="19">
        <f>P47</f>
      </c>
      <c r="J48" s="19"/>
      <c r="K48" s="20">
        <f>IF(AND(ISNUMBER(I48),I48&gt;0,ISNUMBER(J48)), J48/I48, 0)</f>
      </c>
      <c r="L48" s="21"/>
      <c r="M48" s="19">
        <f>IF(AND(ISNUMBER(J48),ISNUMBER(L48)), J48*L48, 0)</f>
      </c>
      <c r="N48" s="19">
        <f>IF(AND(ISNUMBER(J48),ISNUMBER(L48)), (J48*L48)-J48, 0)</f>
      </c>
      <c r="O48" s="22">
        <f>IF(H48="Ganada", M48-J48, IF(H48="Perdida", -J48, IF(OR(H48="Cancelada",H48="Reembolsada",H48="Pendiente"), 0, 0)))</f>
      </c>
      <c r="P48" s="19">
        <f>IF(H48="Pendiente", I48, IF(ISNUMBER(I48), I48+O48, I48))</f>
      </c>
      <c r="Q48" s="20">
        <f>IF(AND(ISNUMBER(J48),J48&gt;0), O48/J48, 0)</f>
      </c>
      <c r="R48" s="20">
        <f>IF(AND(ISNUMBER(I48),I48&gt;0,ISNUMBER(J48)), J48/I48, 0)</f>
      </c>
      <c r="S48" s="22">
        <f>IF(ISNUMBER(O48), SUM($O$6:O48), 0)</f>
      </c>
      <c r="T48" s="16">
        <f>IF(ISBLANK(H48), "", IF(R48&gt;GESTION_BANCA!$C$6, "🔴 EXCESO RIESGO", IF(R48&gt;GESTION_BANCA!$C$7, "🟡 PRECAUCIÓN", "🟢 DENTRO LÍMITE")))</f>
      </c>
      <c r="U48" s="17"/>
    </row>
    <row r="49" spans="1:21" x14ac:dyDescent="0.25">
      <c r="A49" s="16" t="s">
        <v>175</v>
      </c>
      <c r="B49" s="16"/>
      <c r="C49" s="16"/>
      <c r="D49" s="17"/>
      <c r="E49" s="17"/>
      <c r="F49" s="17"/>
      <c r="G49" s="17"/>
      <c r="H49" s="16"/>
      <c r="I49" s="19">
        <f>P48</f>
      </c>
      <c r="J49" s="19"/>
      <c r="K49" s="20">
        <f>IF(AND(ISNUMBER(I49),I49&gt;0,ISNUMBER(J49)), J49/I49, 0)</f>
      </c>
      <c r="L49" s="21"/>
      <c r="M49" s="19">
        <f>IF(AND(ISNUMBER(J49),ISNUMBER(L49)), J49*L49, 0)</f>
      </c>
      <c r="N49" s="19">
        <f>IF(AND(ISNUMBER(J49),ISNUMBER(L49)), (J49*L49)-J49, 0)</f>
      </c>
      <c r="O49" s="22">
        <f>IF(H49="Ganada", M49-J49, IF(H49="Perdida", -J49, IF(OR(H49="Cancelada",H49="Reembolsada",H49="Pendiente"), 0, 0)))</f>
      </c>
      <c r="P49" s="19">
        <f>IF(H49="Pendiente", I49, IF(ISNUMBER(I49), I49+O49, I49))</f>
      </c>
      <c r="Q49" s="20">
        <f>IF(AND(ISNUMBER(J49),J49&gt;0), O49/J49, 0)</f>
      </c>
      <c r="R49" s="20">
        <f>IF(AND(ISNUMBER(I49),I49&gt;0,ISNUMBER(J49)), J49/I49, 0)</f>
      </c>
      <c r="S49" s="22">
        <f>IF(ISNUMBER(O49), SUM($O$6:O49), 0)</f>
      </c>
      <c r="T49" s="16">
        <f>IF(ISBLANK(H49), "", IF(R49&gt;GESTION_BANCA!$C$6, "🔴 EXCESO RIESGO", IF(R49&gt;GESTION_BANCA!$C$7, "🟡 PRECAUCIÓN", "🟢 DENTRO LÍMITE")))</f>
      </c>
      <c r="U49" s="17"/>
    </row>
    <row r="50" spans="1:21" x14ac:dyDescent="0.25">
      <c r="A50" s="16" t="s">
        <v>176</v>
      </c>
      <c r="B50" s="16"/>
      <c r="C50" s="16"/>
      <c r="D50" s="17"/>
      <c r="E50" s="17"/>
      <c r="F50" s="17"/>
      <c r="G50" s="17"/>
      <c r="H50" s="16"/>
      <c r="I50" s="19">
        <f>P49</f>
      </c>
      <c r="J50" s="19"/>
      <c r="K50" s="20">
        <f>IF(AND(ISNUMBER(I50),I50&gt;0,ISNUMBER(J50)), J50/I50, 0)</f>
      </c>
      <c r="L50" s="21"/>
      <c r="M50" s="19">
        <f>IF(AND(ISNUMBER(J50),ISNUMBER(L50)), J50*L50, 0)</f>
      </c>
      <c r="N50" s="19">
        <f>IF(AND(ISNUMBER(J50),ISNUMBER(L50)), (J50*L50)-J50, 0)</f>
      </c>
      <c r="O50" s="22">
        <f>IF(H50="Ganada", M50-J50, IF(H50="Perdida", -J50, IF(OR(H50="Cancelada",H50="Reembolsada",H50="Pendiente"), 0, 0)))</f>
      </c>
      <c r="P50" s="19">
        <f>IF(H50="Pendiente", I50, IF(ISNUMBER(I50), I50+O50, I50))</f>
      </c>
      <c r="Q50" s="20">
        <f>IF(AND(ISNUMBER(J50),J50&gt;0), O50/J50, 0)</f>
      </c>
      <c r="R50" s="20">
        <f>IF(AND(ISNUMBER(I50),I50&gt;0,ISNUMBER(J50)), J50/I50, 0)</f>
      </c>
      <c r="S50" s="22">
        <f>IF(ISNUMBER(O50), SUM($O$6:O50), 0)</f>
      </c>
      <c r="T50" s="16">
        <f>IF(ISBLANK(H50), "", IF(R50&gt;GESTION_BANCA!$C$6, "🔴 EXCESO RIESGO", IF(R50&gt;GESTION_BANCA!$C$7, "🟡 PRECAUCIÓN", "🟢 DENTRO LÍMITE")))</f>
      </c>
      <c r="U50" s="17"/>
    </row>
    <row r="51" spans="1:21" x14ac:dyDescent="0.25">
      <c r="A51" s="16" t="s">
        <v>177</v>
      </c>
      <c r="B51" s="16"/>
      <c r="C51" s="16"/>
      <c r="D51" s="17"/>
      <c r="E51" s="17"/>
      <c r="F51" s="17"/>
      <c r="G51" s="17"/>
      <c r="H51" s="16"/>
      <c r="I51" s="19">
        <f>P50</f>
      </c>
      <c r="J51" s="19"/>
      <c r="K51" s="20">
        <f>IF(AND(ISNUMBER(I51),I51&gt;0,ISNUMBER(J51)), J51/I51, 0)</f>
      </c>
      <c r="L51" s="21"/>
      <c r="M51" s="19">
        <f>IF(AND(ISNUMBER(J51),ISNUMBER(L51)), J51*L51, 0)</f>
      </c>
      <c r="N51" s="19">
        <f>IF(AND(ISNUMBER(J51),ISNUMBER(L51)), (J51*L51)-J51, 0)</f>
      </c>
      <c r="O51" s="22">
        <f>IF(H51="Ganada", M51-J51, IF(H51="Perdida", -J51, IF(OR(H51="Cancelada",H51="Reembolsada",H51="Pendiente"), 0, 0)))</f>
      </c>
      <c r="P51" s="19">
        <f>IF(H51="Pendiente", I51, IF(ISNUMBER(I51), I51+O51, I51))</f>
      </c>
      <c r="Q51" s="20">
        <f>IF(AND(ISNUMBER(J51),J51&gt;0), O51/J51, 0)</f>
      </c>
      <c r="R51" s="20">
        <f>IF(AND(ISNUMBER(I51),I51&gt;0,ISNUMBER(J51)), J51/I51, 0)</f>
      </c>
      <c r="S51" s="22">
        <f>IF(ISNUMBER(O51), SUM($O$6:O51), 0)</f>
      </c>
      <c r="T51" s="16">
        <f>IF(ISBLANK(H51), "", IF(R51&gt;GESTION_BANCA!$C$6, "🔴 EXCESO RIESGO", IF(R51&gt;GESTION_BANCA!$C$7, "🟡 PRECAUCIÓN", "🟢 DENTRO LÍMITE")))</f>
      </c>
      <c r="U51" s="17"/>
    </row>
    <row r="52" spans="1:21" x14ac:dyDescent="0.25">
      <c r="A52" s="16" t="s">
        <v>178</v>
      </c>
      <c r="B52" s="16"/>
      <c r="C52" s="16"/>
      <c r="D52" s="17"/>
      <c r="E52" s="17"/>
      <c r="F52" s="17"/>
      <c r="G52" s="17"/>
      <c r="H52" s="16"/>
      <c r="I52" s="19">
        <f>P51</f>
      </c>
      <c r="J52" s="19"/>
      <c r="K52" s="20">
        <f>IF(AND(ISNUMBER(I52),I52&gt;0,ISNUMBER(J52)), J52/I52, 0)</f>
      </c>
      <c r="L52" s="21"/>
      <c r="M52" s="19">
        <f>IF(AND(ISNUMBER(J52),ISNUMBER(L52)), J52*L52, 0)</f>
      </c>
      <c r="N52" s="19">
        <f>IF(AND(ISNUMBER(J52),ISNUMBER(L52)), (J52*L52)-J52, 0)</f>
      </c>
      <c r="O52" s="22">
        <f>IF(H52="Ganada", M52-J52, IF(H52="Perdida", -J52, IF(OR(H52="Cancelada",H52="Reembolsada",H52="Pendiente"), 0, 0)))</f>
      </c>
      <c r="P52" s="19">
        <f>IF(H52="Pendiente", I52, IF(ISNUMBER(I52), I52+O52, I52))</f>
      </c>
      <c r="Q52" s="20">
        <f>IF(AND(ISNUMBER(J52),J52&gt;0), O52/J52, 0)</f>
      </c>
      <c r="R52" s="20">
        <f>IF(AND(ISNUMBER(I52),I52&gt;0,ISNUMBER(J52)), J52/I52, 0)</f>
      </c>
      <c r="S52" s="22">
        <f>IF(ISNUMBER(O52), SUM($O$6:O52), 0)</f>
      </c>
      <c r="T52" s="16">
        <f>IF(ISBLANK(H52), "", IF(R52&gt;GESTION_BANCA!$C$6, "🔴 EXCESO RIESGO", IF(R52&gt;GESTION_BANCA!$C$7, "🟡 PRECAUCIÓN", "🟢 DENTRO LÍMITE")))</f>
      </c>
      <c r="U52" s="17"/>
    </row>
    <row r="53" spans="1:21" x14ac:dyDescent="0.25">
      <c r="A53" s="16" t="s">
        <v>179</v>
      </c>
      <c r="B53" s="16"/>
      <c r="C53" s="16"/>
      <c r="D53" s="17"/>
      <c r="E53" s="17"/>
      <c r="F53" s="17"/>
      <c r="G53" s="17"/>
      <c r="H53" s="16"/>
      <c r="I53" s="19">
        <f>P52</f>
      </c>
      <c r="J53" s="19"/>
      <c r="K53" s="20">
        <f>IF(AND(ISNUMBER(I53),I53&gt;0,ISNUMBER(J53)), J53/I53, 0)</f>
      </c>
      <c r="L53" s="21"/>
      <c r="M53" s="19">
        <f>IF(AND(ISNUMBER(J53),ISNUMBER(L53)), J53*L53, 0)</f>
      </c>
      <c r="N53" s="19">
        <f>IF(AND(ISNUMBER(J53),ISNUMBER(L53)), (J53*L53)-J53, 0)</f>
      </c>
      <c r="O53" s="22">
        <f>IF(H53="Ganada", M53-J53, IF(H53="Perdida", -J53, IF(OR(H53="Cancelada",H53="Reembolsada",H53="Pendiente"), 0, 0)))</f>
      </c>
      <c r="P53" s="19">
        <f>IF(H53="Pendiente", I53, IF(ISNUMBER(I53), I53+O53, I53))</f>
      </c>
      <c r="Q53" s="20">
        <f>IF(AND(ISNUMBER(J53),J53&gt;0), O53/J53, 0)</f>
      </c>
      <c r="R53" s="20">
        <f>IF(AND(ISNUMBER(I53),I53&gt;0,ISNUMBER(J53)), J53/I53, 0)</f>
      </c>
      <c r="S53" s="22">
        <f>IF(ISNUMBER(O53), SUM($O$6:O53), 0)</f>
      </c>
      <c r="T53" s="16">
        <f>IF(ISBLANK(H53), "", IF(R53&gt;GESTION_BANCA!$C$6, "🔴 EXCESO RIESGO", IF(R53&gt;GESTION_BANCA!$C$7, "🟡 PRECAUCIÓN", "🟢 DENTRO LÍMITE")))</f>
      </c>
      <c r="U53" s="17"/>
    </row>
    <row r="54" spans="1:21" x14ac:dyDescent="0.25">
      <c r="A54" s="16" t="s">
        <v>180</v>
      </c>
      <c r="B54" s="16"/>
      <c r="C54" s="16"/>
      <c r="D54" s="17"/>
      <c r="E54" s="17"/>
      <c r="F54" s="17"/>
      <c r="G54" s="17"/>
      <c r="H54" s="16"/>
      <c r="I54" s="19">
        <f>P53</f>
      </c>
      <c r="J54" s="19"/>
      <c r="K54" s="20">
        <f>IF(AND(ISNUMBER(I54),I54&gt;0,ISNUMBER(J54)), J54/I54, 0)</f>
      </c>
      <c r="L54" s="21"/>
      <c r="M54" s="19">
        <f>IF(AND(ISNUMBER(J54),ISNUMBER(L54)), J54*L54, 0)</f>
      </c>
      <c r="N54" s="19">
        <f>IF(AND(ISNUMBER(J54),ISNUMBER(L54)), (J54*L54)-J54, 0)</f>
      </c>
      <c r="O54" s="22">
        <f>IF(H54="Ganada", M54-J54, IF(H54="Perdida", -J54, IF(OR(H54="Cancelada",H54="Reembolsada",H54="Pendiente"), 0, 0)))</f>
      </c>
      <c r="P54" s="19">
        <f>IF(H54="Pendiente", I54, IF(ISNUMBER(I54), I54+O54, I54))</f>
      </c>
      <c r="Q54" s="20">
        <f>IF(AND(ISNUMBER(J54),J54&gt;0), O54/J54, 0)</f>
      </c>
      <c r="R54" s="20">
        <f>IF(AND(ISNUMBER(I54),I54&gt;0,ISNUMBER(J54)), J54/I54, 0)</f>
      </c>
      <c r="S54" s="22">
        <f>IF(ISNUMBER(O54), SUM($O$6:O54), 0)</f>
      </c>
      <c r="T54" s="16">
        <f>IF(ISBLANK(H54), "", IF(R54&gt;GESTION_BANCA!$C$6, "🔴 EXCESO RIESGO", IF(R54&gt;GESTION_BANCA!$C$7, "🟡 PRECAUCIÓN", "🟢 DENTRO LÍMITE")))</f>
      </c>
      <c r="U54" s="17"/>
    </row>
    <row r="55" spans="1:21" x14ac:dyDescent="0.25">
      <c r="A55" s="16" t="s">
        <v>181</v>
      </c>
      <c r="B55" s="16"/>
      <c r="C55" s="16"/>
      <c r="D55" s="17"/>
      <c r="E55" s="17"/>
      <c r="F55" s="17"/>
      <c r="G55" s="17"/>
      <c r="H55" s="16"/>
      <c r="I55" s="19">
        <f>P54</f>
      </c>
      <c r="J55" s="19"/>
      <c r="K55" s="20">
        <f>IF(AND(ISNUMBER(I55),I55&gt;0,ISNUMBER(J55)), J55/I55, 0)</f>
      </c>
      <c r="L55" s="21"/>
      <c r="M55" s="19">
        <f>IF(AND(ISNUMBER(J55),ISNUMBER(L55)), J55*L55, 0)</f>
      </c>
      <c r="N55" s="19">
        <f>IF(AND(ISNUMBER(J55),ISNUMBER(L55)), (J55*L55)-J55, 0)</f>
      </c>
      <c r="O55" s="22">
        <f>IF(H55="Ganada", M55-J55, IF(H55="Perdida", -J55, IF(OR(H55="Cancelada",H55="Reembolsada",H55="Pendiente"), 0, 0)))</f>
      </c>
      <c r="P55" s="19">
        <f>IF(H55="Pendiente", I55, IF(ISNUMBER(I55), I55+O55, I55))</f>
      </c>
      <c r="Q55" s="20">
        <f>IF(AND(ISNUMBER(J55),J55&gt;0), O55/J55, 0)</f>
      </c>
      <c r="R55" s="20">
        <f>IF(AND(ISNUMBER(I55),I55&gt;0,ISNUMBER(J55)), J55/I55, 0)</f>
      </c>
      <c r="S55" s="22">
        <f>IF(ISNUMBER(O55), SUM($O$6:O55), 0)</f>
      </c>
      <c r="T55" s="16">
        <f>IF(ISBLANK(H55), "", IF(R55&gt;GESTION_BANCA!$C$6, "🔴 EXCESO RIESGO", IF(R55&gt;GESTION_BANCA!$C$7, "🟡 PRECAUCIÓN", "🟢 DENTRO LÍMITE")))</f>
      </c>
      <c r="U55" s="17"/>
    </row>
    <row r="56" spans="1:21" x14ac:dyDescent="0.25">
      <c r="A56" s="16" t="s">
        <v>182</v>
      </c>
      <c r="B56" s="16"/>
      <c r="C56" s="16"/>
      <c r="D56" s="17"/>
      <c r="E56" s="17"/>
      <c r="F56" s="17"/>
      <c r="G56" s="17"/>
      <c r="H56" s="16"/>
      <c r="I56" s="19">
        <f>P55</f>
      </c>
      <c r="J56" s="19"/>
      <c r="K56" s="20">
        <f>IF(AND(ISNUMBER(I56),I56&gt;0,ISNUMBER(J56)), J56/I56, 0)</f>
      </c>
      <c r="L56" s="21"/>
      <c r="M56" s="19">
        <f>IF(AND(ISNUMBER(J56),ISNUMBER(L56)), J56*L56, 0)</f>
      </c>
      <c r="N56" s="19">
        <f>IF(AND(ISNUMBER(J56),ISNUMBER(L56)), (J56*L56)-J56, 0)</f>
      </c>
      <c r="O56" s="22">
        <f>IF(H56="Ganada", M56-J56, IF(H56="Perdida", -J56, IF(OR(H56="Cancelada",H56="Reembolsada",H56="Pendiente"), 0, 0)))</f>
      </c>
      <c r="P56" s="19">
        <f>IF(H56="Pendiente", I56, IF(ISNUMBER(I56), I56+O56, I56))</f>
      </c>
      <c r="Q56" s="20">
        <f>IF(AND(ISNUMBER(J56),J56&gt;0), O56/J56, 0)</f>
      </c>
      <c r="R56" s="20">
        <f>IF(AND(ISNUMBER(I56),I56&gt;0,ISNUMBER(J56)), J56/I56, 0)</f>
      </c>
      <c r="S56" s="22">
        <f>IF(ISNUMBER(O56), SUM($O$6:O56), 0)</f>
      </c>
      <c r="T56" s="16">
        <f>IF(ISBLANK(H56), "", IF(R56&gt;GESTION_BANCA!$C$6, "🔴 EXCESO RIESGO", IF(R56&gt;GESTION_BANCA!$C$7, "🟡 PRECAUCIÓN", "🟢 DENTRO LÍMITE")))</f>
      </c>
      <c r="U56" s="17"/>
    </row>
    <row r="57" spans="1:21" x14ac:dyDescent="0.25">
      <c r="A57" s="16" t="s">
        <v>183</v>
      </c>
      <c r="B57" s="16"/>
      <c r="C57" s="16"/>
      <c r="D57" s="17"/>
      <c r="E57" s="17"/>
      <c r="F57" s="17"/>
      <c r="G57" s="17"/>
      <c r="H57" s="16"/>
      <c r="I57" s="19">
        <f>P56</f>
      </c>
      <c r="J57" s="19"/>
      <c r="K57" s="20">
        <f>IF(AND(ISNUMBER(I57),I57&gt;0,ISNUMBER(J57)), J57/I57, 0)</f>
      </c>
      <c r="L57" s="21"/>
      <c r="M57" s="19">
        <f>IF(AND(ISNUMBER(J57),ISNUMBER(L57)), J57*L57, 0)</f>
      </c>
      <c r="N57" s="19">
        <f>IF(AND(ISNUMBER(J57),ISNUMBER(L57)), (J57*L57)-J57, 0)</f>
      </c>
      <c r="O57" s="22">
        <f>IF(H57="Ganada", M57-J57, IF(H57="Perdida", -J57, IF(OR(H57="Cancelada",H57="Reembolsada",H57="Pendiente"), 0, 0)))</f>
      </c>
      <c r="P57" s="19">
        <f>IF(H57="Pendiente", I57, IF(ISNUMBER(I57), I57+O57, I57))</f>
      </c>
      <c r="Q57" s="20">
        <f>IF(AND(ISNUMBER(J57),J57&gt;0), O57/J57, 0)</f>
      </c>
      <c r="R57" s="20">
        <f>IF(AND(ISNUMBER(I57),I57&gt;0,ISNUMBER(J57)), J57/I57, 0)</f>
      </c>
      <c r="S57" s="22">
        <f>IF(ISNUMBER(O57), SUM($O$6:O57), 0)</f>
      </c>
      <c r="T57" s="16">
        <f>IF(ISBLANK(H57), "", IF(R57&gt;GESTION_BANCA!$C$6, "🔴 EXCESO RIESGO", IF(R57&gt;GESTION_BANCA!$C$7, "🟡 PRECAUCIÓN", "🟢 DENTRO LÍMITE")))</f>
      </c>
      <c r="U57" s="17"/>
    </row>
    <row r="58" spans="1:21" x14ac:dyDescent="0.25">
      <c r="A58" s="16" t="s">
        <v>184</v>
      </c>
      <c r="B58" s="16"/>
      <c r="C58" s="16"/>
      <c r="D58" s="17"/>
      <c r="E58" s="17"/>
      <c r="F58" s="17"/>
      <c r="G58" s="17"/>
      <c r="H58" s="16"/>
      <c r="I58" s="19">
        <f>P57</f>
      </c>
      <c r="J58" s="19"/>
      <c r="K58" s="20">
        <f>IF(AND(ISNUMBER(I58),I58&gt;0,ISNUMBER(J58)), J58/I58, 0)</f>
      </c>
      <c r="L58" s="21"/>
      <c r="M58" s="19">
        <f>IF(AND(ISNUMBER(J58),ISNUMBER(L58)), J58*L58, 0)</f>
      </c>
      <c r="N58" s="19">
        <f>IF(AND(ISNUMBER(J58),ISNUMBER(L58)), (J58*L58)-J58, 0)</f>
      </c>
      <c r="O58" s="22">
        <f>IF(H58="Ganada", M58-J58, IF(H58="Perdida", -J58, IF(OR(H58="Cancelada",H58="Reembolsada",H58="Pendiente"), 0, 0)))</f>
      </c>
      <c r="P58" s="19">
        <f>IF(H58="Pendiente", I58, IF(ISNUMBER(I58), I58+O58, I58))</f>
      </c>
      <c r="Q58" s="20">
        <f>IF(AND(ISNUMBER(J58),J58&gt;0), O58/J58, 0)</f>
      </c>
      <c r="R58" s="20">
        <f>IF(AND(ISNUMBER(I58),I58&gt;0,ISNUMBER(J58)), J58/I58, 0)</f>
      </c>
      <c r="S58" s="22">
        <f>IF(ISNUMBER(O58), SUM($O$6:O58), 0)</f>
      </c>
      <c r="T58" s="16">
        <f>IF(ISBLANK(H58), "", IF(R58&gt;GESTION_BANCA!$C$6, "🔴 EXCESO RIESGO", IF(R58&gt;GESTION_BANCA!$C$7, "🟡 PRECAUCIÓN", "🟢 DENTRO LÍMITE")))</f>
      </c>
      <c r="U58" s="17"/>
    </row>
    <row r="59" spans="1:21" x14ac:dyDescent="0.25">
      <c r="A59" s="16" t="s">
        <v>185</v>
      </c>
      <c r="B59" s="16"/>
      <c r="C59" s="16"/>
      <c r="D59" s="17"/>
      <c r="E59" s="17"/>
      <c r="F59" s="17"/>
      <c r="G59" s="17"/>
      <c r="H59" s="16"/>
      <c r="I59" s="19">
        <f>P58</f>
      </c>
      <c r="J59" s="19"/>
      <c r="K59" s="20">
        <f>IF(AND(ISNUMBER(I59),I59&gt;0,ISNUMBER(J59)), J59/I59, 0)</f>
      </c>
      <c r="L59" s="21"/>
      <c r="M59" s="19">
        <f>IF(AND(ISNUMBER(J59),ISNUMBER(L59)), J59*L59, 0)</f>
      </c>
      <c r="N59" s="19">
        <f>IF(AND(ISNUMBER(J59),ISNUMBER(L59)), (J59*L59)-J59, 0)</f>
      </c>
      <c r="O59" s="22">
        <f>IF(H59="Ganada", M59-J59, IF(H59="Perdida", -J59, IF(OR(H59="Cancelada",H59="Reembolsada",H59="Pendiente"), 0, 0)))</f>
      </c>
      <c r="P59" s="19">
        <f>IF(H59="Pendiente", I59, IF(ISNUMBER(I59), I59+O59, I59))</f>
      </c>
      <c r="Q59" s="20">
        <f>IF(AND(ISNUMBER(J59),J59&gt;0), O59/J59, 0)</f>
      </c>
      <c r="R59" s="20">
        <f>IF(AND(ISNUMBER(I59),I59&gt;0,ISNUMBER(J59)), J59/I59, 0)</f>
      </c>
      <c r="S59" s="22">
        <f>IF(ISNUMBER(O59), SUM($O$6:O59), 0)</f>
      </c>
      <c r="T59" s="16">
        <f>IF(ISBLANK(H59), "", IF(R59&gt;GESTION_BANCA!$C$6, "🔴 EXCESO RIESGO", IF(R59&gt;GESTION_BANCA!$C$7, "🟡 PRECAUCIÓN", "🟢 DENTRO LÍMITE")))</f>
      </c>
      <c r="U59" s="17"/>
    </row>
    <row r="60" spans="1:21" x14ac:dyDescent="0.25">
      <c r="A60" s="16" t="s">
        <v>186</v>
      </c>
      <c r="B60" s="16"/>
      <c r="C60" s="16"/>
      <c r="D60" s="17"/>
      <c r="E60" s="17"/>
      <c r="F60" s="17"/>
      <c r="G60" s="17"/>
      <c r="H60" s="16"/>
      <c r="I60" s="19">
        <f>P59</f>
      </c>
      <c r="J60" s="19"/>
      <c r="K60" s="20">
        <f>IF(AND(ISNUMBER(I60),I60&gt;0,ISNUMBER(J60)), J60/I60, 0)</f>
      </c>
      <c r="L60" s="21"/>
      <c r="M60" s="19">
        <f>IF(AND(ISNUMBER(J60),ISNUMBER(L60)), J60*L60, 0)</f>
      </c>
      <c r="N60" s="19">
        <f>IF(AND(ISNUMBER(J60),ISNUMBER(L60)), (J60*L60)-J60, 0)</f>
      </c>
      <c r="O60" s="22">
        <f>IF(H60="Ganada", M60-J60, IF(H60="Perdida", -J60, IF(OR(H60="Cancelada",H60="Reembolsada",H60="Pendiente"), 0, 0)))</f>
      </c>
      <c r="P60" s="19">
        <f>IF(H60="Pendiente", I60, IF(ISNUMBER(I60), I60+O60, I60))</f>
      </c>
      <c r="Q60" s="20">
        <f>IF(AND(ISNUMBER(J60),J60&gt;0), O60/J60, 0)</f>
      </c>
      <c r="R60" s="20">
        <f>IF(AND(ISNUMBER(I60),I60&gt;0,ISNUMBER(J60)), J60/I60, 0)</f>
      </c>
      <c r="S60" s="22">
        <f>IF(ISNUMBER(O60), SUM($O$6:O60), 0)</f>
      </c>
      <c r="T60" s="16">
        <f>IF(ISBLANK(H60), "", IF(R60&gt;GESTION_BANCA!$C$6, "🔴 EXCESO RIESGO", IF(R60&gt;GESTION_BANCA!$C$7, "🟡 PRECAUCIÓN", "🟢 DENTRO LÍMITE")))</f>
      </c>
      <c r="U60" s="17"/>
    </row>
    <row r="61" spans="1:21" x14ac:dyDescent="0.25">
      <c r="A61" s="16" t="s">
        <v>187</v>
      </c>
      <c r="B61" s="16"/>
      <c r="C61" s="16"/>
      <c r="D61" s="17"/>
      <c r="E61" s="17"/>
      <c r="F61" s="17"/>
      <c r="G61" s="17"/>
      <c r="H61" s="16"/>
      <c r="I61" s="19">
        <f>P60</f>
      </c>
      <c r="J61" s="19"/>
      <c r="K61" s="20">
        <f>IF(AND(ISNUMBER(I61),I61&gt;0,ISNUMBER(J61)), J61/I61, 0)</f>
      </c>
      <c r="L61" s="21"/>
      <c r="M61" s="19">
        <f>IF(AND(ISNUMBER(J61),ISNUMBER(L61)), J61*L61, 0)</f>
      </c>
      <c r="N61" s="19">
        <f>IF(AND(ISNUMBER(J61),ISNUMBER(L61)), (J61*L61)-J61, 0)</f>
      </c>
      <c r="O61" s="22">
        <f>IF(H61="Ganada", M61-J61, IF(H61="Perdida", -J61, IF(OR(H61="Cancelada",H61="Reembolsada",H61="Pendiente"), 0, 0)))</f>
      </c>
      <c r="P61" s="19">
        <f>IF(H61="Pendiente", I61, IF(ISNUMBER(I61), I61+O61, I61))</f>
      </c>
      <c r="Q61" s="20">
        <f>IF(AND(ISNUMBER(J61),J61&gt;0), O61/J61, 0)</f>
      </c>
      <c r="R61" s="20">
        <f>IF(AND(ISNUMBER(I61),I61&gt;0,ISNUMBER(J61)), J61/I61, 0)</f>
      </c>
      <c r="S61" s="22">
        <f>IF(ISNUMBER(O61), SUM($O$6:O61), 0)</f>
      </c>
      <c r="T61" s="16">
        <f>IF(ISBLANK(H61), "", IF(R61&gt;GESTION_BANCA!$C$6, "🔴 EXCESO RIESGO", IF(R61&gt;GESTION_BANCA!$C$7, "🟡 PRECAUCIÓN", "🟢 DENTRO LÍMITE")))</f>
      </c>
      <c r="U61" s="17"/>
    </row>
    <row r="62" spans="1:21" x14ac:dyDescent="0.25">
      <c r="A62" s="16" t="s">
        <v>188</v>
      </c>
      <c r="B62" s="16"/>
      <c r="C62" s="16"/>
      <c r="D62" s="17"/>
      <c r="E62" s="17"/>
      <c r="F62" s="17"/>
      <c r="G62" s="17"/>
      <c r="H62" s="16"/>
      <c r="I62" s="19">
        <f>P61</f>
      </c>
      <c r="J62" s="19"/>
      <c r="K62" s="20">
        <f>IF(AND(ISNUMBER(I62),I62&gt;0,ISNUMBER(J62)), J62/I62, 0)</f>
      </c>
      <c r="L62" s="21"/>
      <c r="M62" s="19">
        <f>IF(AND(ISNUMBER(J62),ISNUMBER(L62)), J62*L62, 0)</f>
      </c>
      <c r="N62" s="19">
        <f>IF(AND(ISNUMBER(J62),ISNUMBER(L62)), (J62*L62)-J62, 0)</f>
      </c>
      <c r="O62" s="22">
        <f>IF(H62="Ganada", M62-J62, IF(H62="Perdida", -J62, IF(OR(H62="Cancelada",H62="Reembolsada",H62="Pendiente"), 0, 0)))</f>
      </c>
      <c r="P62" s="19">
        <f>IF(H62="Pendiente", I62, IF(ISNUMBER(I62), I62+O62, I62))</f>
      </c>
      <c r="Q62" s="20">
        <f>IF(AND(ISNUMBER(J62),J62&gt;0), O62/J62, 0)</f>
      </c>
      <c r="R62" s="20">
        <f>IF(AND(ISNUMBER(I62),I62&gt;0,ISNUMBER(J62)), J62/I62, 0)</f>
      </c>
      <c r="S62" s="22">
        <f>IF(ISNUMBER(O62), SUM($O$6:O62), 0)</f>
      </c>
      <c r="T62" s="16">
        <f>IF(ISBLANK(H62), "", IF(R62&gt;GESTION_BANCA!$C$6, "🔴 EXCESO RIESGO", IF(R62&gt;GESTION_BANCA!$C$7, "🟡 PRECAUCIÓN", "🟢 DENTRO LÍMITE")))</f>
      </c>
      <c r="U62" s="17"/>
    </row>
    <row r="63" spans="1:21" x14ac:dyDescent="0.25">
      <c r="A63" s="16" t="s">
        <v>189</v>
      </c>
      <c r="B63" s="16"/>
      <c r="C63" s="16"/>
      <c r="D63" s="17"/>
      <c r="E63" s="17"/>
      <c r="F63" s="17"/>
      <c r="G63" s="17"/>
      <c r="H63" s="16"/>
      <c r="I63" s="19">
        <f>P62</f>
      </c>
      <c r="J63" s="19"/>
      <c r="K63" s="20">
        <f>IF(AND(ISNUMBER(I63),I63&gt;0,ISNUMBER(J63)), J63/I63, 0)</f>
      </c>
      <c r="L63" s="21"/>
      <c r="M63" s="19">
        <f>IF(AND(ISNUMBER(J63),ISNUMBER(L63)), J63*L63, 0)</f>
      </c>
      <c r="N63" s="19">
        <f>IF(AND(ISNUMBER(J63),ISNUMBER(L63)), (J63*L63)-J63, 0)</f>
      </c>
      <c r="O63" s="22">
        <f>IF(H63="Ganada", M63-J63, IF(H63="Perdida", -J63, IF(OR(H63="Cancelada",H63="Reembolsada",H63="Pendiente"), 0, 0)))</f>
      </c>
      <c r="P63" s="19">
        <f>IF(H63="Pendiente", I63, IF(ISNUMBER(I63), I63+O63, I63))</f>
      </c>
      <c r="Q63" s="20">
        <f>IF(AND(ISNUMBER(J63),J63&gt;0), O63/J63, 0)</f>
      </c>
      <c r="R63" s="20">
        <f>IF(AND(ISNUMBER(I63),I63&gt;0,ISNUMBER(J63)), J63/I63, 0)</f>
      </c>
      <c r="S63" s="22">
        <f>IF(ISNUMBER(O63), SUM($O$6:O63), 0)</f>
      </c>
      <c r="T63" s="16">
        <f>IF(ISBLANK(H63), "", IF(R63&gt;GESTION_BANCA!$C$6, "🔴 EXCESO RIESGO", IF(R63&gt;GESTION_BANCA!$C$7, "🟡 PRECAUCIÓN", "🟢 DENTRO LÍMITE")))</f>
      </c>
      <c r="U63" s="17"/>
    </row>
    <row r="64" spans="1:21" x14ac:dyDescent="0.25">
      <c r="A64" s="16" t="s">
        <v>190</v>
      </c>
      <c r="B64" s="16"/>
      <c r="C64" s="16"/>
      <c r="D64" s="17"/>
      <c r="E64" s="17"/>
      <c r="F64" s="17"/>
      <c r="G64" s="17"/>
      <c r="H64" s="16"/>
      <c r="I64" s="19">
        <f>P63</f>
      </c>
      <c r="J64" s="19"/>
      <c r="K64" s="20">
        <f>IF(AND(ISNUMBER(I64),I64&gt;0,ISNUMBER(J64)), J64/I64, 0)</f>
      </c>
      <c r="L64" s="21"/>
      <c r="M64" s="19">
        <f>IF(AND(ISNUMBER(J64),ISNUMBER(L64)), J64*L64, 0)</f>
      </c>
      <c r="N64" s="19">
        <f>IF(AND(ISNUMBER(J64),ISNUMBER(L64)), (J64*L64)-J64, 0)</f>
      </c>
      <c r="O64" s="22">
        <f>IF(H64="Ganada", M64-J64, IF(H64="Perdida", -J64, IF(OR(H64="Cancelada",H64="Reembolsada",H64="Pendiente"), 0, 0)))</f>
      </c>
      <c r="P64" s="19">
        <f>IF(H64="Pendiente", I64, IF(ISNUMBER(I64), I64+O64, I64))</f>
      </c>
      <c r="Q64" s="20">
        <f>IF(AND(ISNUMBER(J64),J64&gt;0), O64/J64, 0)</f>
      </c>
      <c r="R64" s="20">
        <f>IF(AND(ISNUMBER(I64),I64&gt;0,ISNUMBER(J64)), J64/I64, 0)</f>
      </c>
      <c r="S64" s="22">
        <f>IF(ISNUMBER(O64), SUM($O$6:O64), 0)</f>
      </c>
      <c r="T64" s="16">
        <f>IF(ISBLANK(H64), "", IF(R64&gt;GESTION_BANCA!$C$6, "🔴 EXCESO RIESGO", IF(R64&gt;GESTION_BANCA!$C$7, "🟡 PRECAUCIÓN", "🟢 DENTRO LÍMITE")))</f>
      </c>
      <c r="U64" s="17"/>
    </row>
    <row r="65" spans="1:21" x14ac:dyDescent="0.25">
      <c r="A65" s="16" t="s">
        <v>191</v>
      </c>
      <c r="B65" s="16"/>
      <c r="C65" s="16"/>
      <c r="D65" s="17"/>
      <c r="E65" s="17"/>
      <c r="F65" s="17"/>
      <c r="G65" s="17"/>
      <c r="H65" s="16"/>
      <c r="I65" s="19">
        <f>P64</f>
      </c>
      <c r="J65" s="19"/>
      <c r="K65" s="20">
        <f>IF(AND(ISNUMBER(I65),I65&gt;0,ISNUMBER(J65)), J65/I65, 0)</f>
      </c>
      <c r="L65" s="21"/>
      <c r="M65" s="19">
        <f>IF(AND(ISNUMBER(J65),ISNUMBER(L65)), J65*L65, 0)</f>
      </c>
      <c r="N65" s="19">
        <f>IF(AND(ISNUMBER(J65),ISNUMBER(L65)), (J65*L65)-J65, 0)</f>
      </c>
      <c r="O65" s="22">
        <f>IF(H65="Ganada", M65-J65, IF(H65="Perdida", -J65, IF(OR(H65="Cancelada",H65="Reembolsada",H65="Pendiente"), 0, 0)))</f>
      </c>
      <c r="P65" s="19">
        <f>IF(H65="Pendiente", I65, IF(ISNUMBER(I65), I65+O65, I65))</f>
      </c>
      <c r="Q65" s="20">
        <f>IF(AND(ISNUMBER(J65),J65&gt;0), O65/J65, 0)</f>
      </c>
      <c r="R65" s="20">
        <f>IF(AND(ISNUMBER(I65),I65&gt;0,ISNUMBER(J65)), J65/I65, 0)</f>
      </c>
      <c r="S65" s="22">
        <f>IF(ISNUMBER(O65), SUM($O$6:O65), 0)</f>
      </c>
      <c r="T65" s="16">
        <f>IF(ISBLANK(H65), "", IF(R65&gt;GESTION_BANCA!$C$6, "🔴 EXCESO RIESGO", IF(R65&gt;GESTION_BANCA!$C$7, "🟡 PRECAUCIÓN", "🟢 DENTRO LÍMITE")))</f>
      </c>
      <c r="U65" s="17"/>
    </row>
    <row r="66" spans="1:21" x14ac:dyDescent="0.25">
      <c r="A66" s="16" t="s">
        <v>192</v>
      </c>
      <c r="B66" s="16"/>
      <c r="C66" s="16"/>
      <c r="D66" s="17"/>
      <c r="E66" s="17"/>
      <c r="F66" s="17"/>
      <c r="G66" s="17"/>
      <c r="H66" s="16"/>
      <c r="I66" s="19">
        <f>P65</f>
      </c>
      <c r="J66" s="19"/>
      <c r="K66" s="20">
        <f>IF(AND(ISNUMBER(I66),I66&gt;0,ISNUMBER(J66)), J66/I66, 0)</f>
      </c>
      <c r="L66" s="21"/>
      <c r="M66" s="19">
        <f>IF(AND(ISNUMBER(J66),ISNUMBER(L66)), J66*L66, 0)</f>
      </c>
      <c r="N66" s="19">
        <f>IF(AND(ISNUMBER(J66),ISNUMBER(L66)), (J66*L66)-J66, 0)</f>
      </c>
      <c r="O66" s="22">
        <f>IF(H66="Ganada", M66-J66, IF(H66="Perdida", -J66, IF(OR(H66="Cancelada",H66="Reembolsada",H66="Pendiente"), 0, 0)))</f>
      </c>
      <c r="P66" s="19">
        <f>IF(H66="Pendiente", I66, IF(ISNUMBER(I66), I66+O66, I66))</f>
      </c>
      <c r="Q66" s="20">
        <f>IF(AND(ISNUMBER(J66),J66&gt;0), O66/J66, 0)</f>
      </c>
      <c r="R66" s="20">
        <f>IF(AND(ISNUMBER(I66),I66&gt;0,ISNUMBER(J66)), J66/I66, 0)</f>
      </c>
      <c r="S66" s="22">
        <f>IF(ISNUMBER(O66), SUM($O$6:O66), 0)</f>
      </c>
      <c r="T66" s="16">
        <f>IF(ISBLANK(H66), "", IF(R66&gt;GESTION_BANCA!$C$6, "🔴 EXCESO RIESGO", IF(R66&gt;GESTION_BANCA!$C$7, "🟡 PRECAUCIÓN", "🟢 DENTRO LÍMITE")))</f>
      </c>
      <c r="U66" s="17"/>
    </row>
    <row r="67" spans="1:21" x14ac:dyDescent="0.25">
      <c r="A67" s="16" t="s">
        <v>193</v>
      </c>
      <c r="B67" s="16"/>
      <c r="C67" s="16"/>
      <c r="D67" s="17"/>
      <c r="E67" s="17"/>
      <c r="F67" s="17"/>
      <c r="G67" s="17"/>
      <c r="H67" s="16"/>
      <c r="I67" s="19">
        <f>P66</f>
      </c>
      <c r="J67" s="19"/>
      <c r="K67" s="20">
        <f>IF(AND(ISNUMBER(I67),I67&gt;0,ISNUMBER(J67)), J67/I67, 0)</f>
      </c>
      <c r="L67" s="21"/>
      <c r="M67" s="19">
        <f>IF(AND(ISNUMBER(J67),ISNUMBER(L67)), J67*L67, 0)</f>
      </c>
      <c r="N67" s="19">
        <f>IF(AND(ISNUMBER(J67),ISNUMBER(L67)), (J67*L67)-J67, 0)</f>
      </c>
      <c r="O67" s="22">
        <f>IF(H67="Ganada", M67-J67, IF(H67="Perdida", -J67, IF(OR(H67="Cancelada",H67="Reembolsada",H67="Pendiente"), 0, 0)))</f>
      </c>
      <c r="P67" s="19">
        <f>IF(H67="Pendiente", I67, IF(ISNUMBER(I67), I67+O67, I67))</f>
      </c>
      <c r="Q67" s="20">
        <f>IF(AND(ISNUMBER(J67),J67&gt;0), O67/J67, 0)</f>
      </c>
      <c r="R67" s="20">
        <f>IF(AND(ISNUMBER(I67),I67&gt;0,ISNUMBER(J67)), J67/I67, 0)</f>
      </c>
      <c r="S67" s="22">
        <f>IF(ISNUMBER(O67), SUM($O$6:O67), 0)</f>
      </c>
      <c r="T67" s="16">
        <f>IF(ISBLANK(H67), "", IF(R67&gt;GESTION_BANCA!$C$6, "🔴 EXCESO RIESGO", IF(R67&gt;GESTION_BANCA!$C$7, "🟡 PRECAUCIÓN", "🟢 DENTRO LÍMITE")))</f>
      </c>
      <c r="U67" s="17"/>
    </row>
    <row r="68" spans="1:21" x14ac:dyDescent="0.25">
      <c r="A68" s="16" t="s">
        <v>194</v>
      </c>
      <c r="B68" s="16"/>
      <c r="C68" s="16"/>
      <c r="D68" s="17"/>
      <c r="E68" s="17"/>
      <c r="F68" s="17"/>
      <c r="G68" s="17"/>
      <c r="H68" s="16"/>
      <c r="I68" s="19">
        <f>P67</f>
      </c>
      <c r="J68" s="19"/>
      <c r="K68" s="20">
        <f>IF(AND(ISNUMBER(I68),I68&gt;0,ISNUMBER(J68)), J68/I68, 0)</f>
      </c>
      <c r="L68" s="21"/>
      <c r="M68" s="19">
        <f>IF(AND(ISNUMBER(J68),ISNUMBER(L68)), J68*L68, 0)</f>
      </c>
      <c r="N68" s="19">
        <f>IF(AND(ISNUMBER(J68),ISNUMBER(L68)), (J68*L68)-J68, 0)</f>
      </c>
      <c r="O68" s="22">
        <f>IF(H68="Ganada", M68-J68, IF(H68="Perdida", -J68, IF(OR(H68="Cancelada",H68="Reembolsada",H68="Pendiente"), 0, 0)))</f>
      </c>
      <c r="P68" s="19">
        <f>IF(H68="Pendiente", I68, IF(ISNUMBER(I68), I68+O68, I68))</f>
      </c>
      <c r="Q68" s="20">
        <f>IF(AND(ISNUMBER(J68),J68&gt;0), O68/J68, 0)</f>
      </c>
      <c r="R68" s="20">
        <f>IF(AND(ISNUMBER(I68),I68&gt;0,ISNUMBER(J68)), J68/I68, 0)</f>
      </c>
      <c r="S68" s="22">
        <f>IF(ISNUMBER(O68), SUM($O$6:O68), 0)</f>
      </c>
      <c r="T68" s="16">
        <f>IF(ISBLANK(H68), "", IF(R68&gt;GESTION_BANCA!$C$6, "🔴 EXCESO RIESGO", IF(R68&gt;GESTION_BANCA!$C$7, "🟡 PRECAUCIÓN", "🟢 DENTRO LÍMITE")))</f>
      </c>
      <c r="U68" s="17"/>
    </row>
    <row r="69" spans="1:21" x14ac:dyDescent="0.25">
      <c r="A69" s="16" t="s">
        <v>195</v>
      </c>
      <c r="B69" s="16"/>
      <c r="C69" s="16"/>
      <c r="D69" s="17"/>
      <c r="E69" s="17"/>
      <c r="F69" s="17"/>
      <c r="G69" s="17"/>
      <c r="H69" s="16"/>
      <c r="I69" s="19">
        <f>P68</f>
      </c>
      <c r="J69" s="19"/>
      <c r="K69" s="20">
        <f>IF(AND(ISNUMBER(I69),I69&gt;0,ISNUMBER(J69)), J69/I69, 0)</f>
      </c>
      <c r="L69" s="21"/>
      <c r="M69" s="19">
        <f>IF(AND(ISNUMBER(J69),ISNUMBER(L69)), J69*L69, 0)</f>
      </c>
      <c r="N69" s="19">
        <f>IF(AND(ISNUMBER(J69),ISNUMBER(L69)), (J69*L69)-J69, 0)</f>
      </c>
      <c r="O69" s="22">
        <f>IF(H69="Ganada", M69-J69, IF(H69="Perdida", -J69, IF(OR(H69="Cancelada",H69="Reembolsada",H69="Pendiente"), 0, 0)))</f>
      </c>
      <c r="P69" s="19">
        <f>IF(H69="Pendiente", I69, IF(ISNUMBER(I69), I69+O69, I69))</f>
      </c>
      <c r="Q69" s="20">
        <f>IF(AND(ISNUMBER(J69),J69&gt;0), O69/J69, 0)</f>
      </c>
      <c r="R69" s="20">
        <f>IF(AND(ISNUMBER(I69),I69&gt;0,ISNUMBER(J69)), J69/I69, 0)</f>
      </c>
      <c r="S69" s="22">
        <f>IF(ISNUMBER(O69), SUM($O$6:O69), 0)</f>
      </c>
      <c r="T69" s="16">
        <f>IF(ISBLANK(H69), "", IF(R69&gt;GESTION_BANCA!$C$6, "🔴 EXCESO RIESGO", IF(R69&gt;GESTION_BANCA!$C$7, "🟡 PRECAUCIÓN", "🟢 DENTRO LÍMITE")))</f>
      </c>
      <c r="U69" s="17"/>
    </row>
    <row r="70" spans="1:21" x14ac:dyDescent="0.25">
      <c r="A70" s="16" t="s">
        <v>196</v>
      </c>
      <c r="B70" s="16"/>
      <c r="C70" s="16"/>
      <c r="D70" s="17"/>
      <c r="E70" s="17"/>
      <c r="F70" s="17"/>
      <c r="G70" s="17"/>
      <c r="H70" s="16"/>
      <c r="I70" s="19">
        <f>P69</f>
      </c>
      <c r="J70" s="19"/>
      <c r="K70" s="20">
        <f>IF(AND(ISNUMBER(I70),I70&gt;0,ISNUMBER(J70)), J70/I70, 0)</f>
      </c>
      <c r="L70" s="21"/>
      <c r="M70" s="19">
        <f>IF(AND(ISNUMBER(J70),ISNUMBER(L70)), J70*L70, 0)</f>
      </c>
      <c r="N70" s="19">
        <f>IF(AND(ISNUMBER(J70),ISNUMBER(L70)), (J70*L70)-J70, 0)</f>
      </c>
      <c r="O70" s="22">
        <f>IF(H70="Ganada", M70-J70, IF(H70="Perdida", -J70, IF(OR(H70="Cancelada",H70="Reembolsada",H70="Pendiente"), 0, 0)))</f>
      </c>
      <c r="P70" s="19">
        <f>IF(H70="Pendiente", I70, IF(ISNUMBER(I70), I70+O70, I70))</f>
      </c>
      <c r="Q70" s="20">
        <f>IF(AND(ISNUMBER(J70),J70&gt;0), O70/J70, 0)</f>
      </c>
      <c r="R70" s="20">
        <f>IF(AND(ISNUMBER(I70),I70&gt;0,ISNUMBER(J70)), J70/I70, 0)</f>
      </c>
      <c r="S70" s="22">
        <f>IF(ISNUMBER(O70), SUM($O$6:O70), 0)</f>
      </c>
      <c r="T70" s="16">
        <f>IF(ISBLANK(H70), "", IF(R70&gt;GESTION_BANCA!$C$6, "🔴 EXCESO RIESGO", IF(R70&gt;GESTION_BANCA!$C$7, "🟡 PRECAUCIÓN", "🟢 DENTRO LÍMITE")))</f>
      </c>
      <c r="U70" s="17"/>
    </row>
    <row r="71" spans="1:21" x14ac:dyDescent="0.25">
      <c r="A71" s="16" t="s">
        <v>197</v>
      </c>
      <c r="B71" s="16"/>
      <c r="C71" s="16"/>
      <c r="D71" s="17"/>
      <c r="E71" s="17"/>
      <c r="F71" s="17"/>
      <c r="G71" s="17"/>
      <c r="H71" s="16"/>
      <c r="I71" s="19">
        <f>P70</f>
      </c>
      <c r="J71" s="19"/>
      <c r="K71" s="20">
        <f>IF(AND(ISNUMBER(I71),I71&gt;0,ISNUMBER(J71)), J71/I71, 0)</f>
      </c>
      <c r="L71" s="21"/>
      <c r="M71" s="19">
        <f>IF(AND(ISNUMBER(J71),ISNUMBER(L71)), J71*L71, 0)</f>
      </c>
      <c r="N71" s="19">
        <f>IF(AND(ISNUMBER(J71),ISNUMBER(L71)), (J71*L71)-J71, 0)</f>
      </c>
      <c r="O71" s="22">
        <f>IF(H71="Ganada", M71-J71, IF(H71="Perdida", -J71, IF(OR(H71="Cancelada",H71="Reembolsada",H71="Pendiente"), 0, 0)))</f>
      </c>
      <c r="P71" s="19">
        <f>IF(H71="Pendiente", I71, IF(ISNUMBER(I71), I71+O71, I71))</f>
      </c>
      <c r="Q71" s="20">
        <f>IF(AND(ISNUMBER(J71),J71&gt;0), O71/J71, 0)</f>
      </c>
      <c r="R71" s="20">
        <f>IF(AND(ISNUMBER(I71),I71&gt;0,ISNUMBER(J71)), J71/I71, 0)</f>
      </c>
      <c r="S71" s="22">
        <f>IF(ISNUMBER(O71), SUM($O$6:O71), 0)</f>
      </c>
      <c r="T71" s="16">
        <f>IF(ISBLANK(H71), "", IF(R71&gt;GESTION_BANCA!$C$6, "🔴 EXCESO RIESGO", IF(R71&gt;GESTION_BANCA!$C$7, "🟡 PRECAUCIÓN", "🟢 DENTRO LÍMITE")))</f>
      </c>
      <c r="U71" s="17"/>
    </row>
    <row r="72" spans="1:21" x14ac:dyDescent="0.25">
      <c r="A72" s="16" t="s">
        <v>198</v>
      </c>
      <c r="B72" s="16"/>
      <c r="C72" s="16"/>
      <c r="D72" s="17"/>
      <c r="E72" s="17"/>
      <c r="F72" s="17"/>
      <c r="G72" s="17"/>
      <c r="H72" s="16"/>
      <c r="I72" s="19">
        <f>P71</f>
      </c>
      <c r="J72" s="19"/>
      <c r="K72" s="20">
        <f>IF(AND(ISNUMBER(I72),I72&gt;0,ISNUMBER(J72)), J72/I72, 0)</f>
      </c>
      <c r="L72" s="21"/>
      <c r="M72" s="19">
        <f>IF(AND(ISNUMBER(J72),ISNUMBER(L72)), J72*L72, 0)</f>
      </c>
      <c r="N72" s="19">
        <f>IF(AND(ISNUMBER(J72),ISNUMBER(L72)), (J72*L72)-J72, 0)</f>
      </c>
      <c r="O72" s="22">
        <f>IF(H72="Ganada", M72-J72, IF(H72="Perdida", -J72, IF(OR(H72="Cancelada",H72="Reembolsada",H72="Pendiente"), 0, 0)))</f>
      </c>
      <c r="P72" s="19">
        <f>IF(H72="Pendiente", I72, IF(ISNUMBER(I72), I72+O72, I72))</f>
      </c>
      <c r="Q72" s="20">
        <f>IF(AND(ISNUMBER(J72),J72&gt;0), O72/J72, 0)</f>
      </c>
      <c r="R72" s="20">
        <f>IF(AND(ISNUMBER(I72),I72&gt;0,ISNUMBER(J72)), J72/I72, 0)</f>
      </c>
      <c r="S72" s="22">
        <f>IF(ISNUMBER(O72), SUM($O$6:O72), 0)</f>
      </c>
      <c r="T72" s="16">
        <f>IF(ISBLANK(H72), "", IF(R72&gt;GESTION_BANCA!$C$6, "🔴 EXCESO RIESGO", IF(R72&gt;GESTION_BANCA!$C$7, "🟡 PRECAUCIÓN", "🟢 DENTRO LÍMITE")))</f>
      </c>
      <c r="U72" s="17"/>
    </row>
    <row r="73" spans="1:21" x14ac:dyDescent="0.25">
      <c r="A73" s="16" t="s">
        <v>199</v>
      </c>
      <c r="B73" s="16"/>
      <c r="C73" s="16"/>
      <c r="D73" s="17"/>
      <c r="E73" s="17"/>
      <c r="F73" s="17"/>
      <c r="G73" s="17"/>
      <c r="H73" s="16"/>
      <c r="I73" s="19">
        <f>P72</f>
      </c>
      <c r="J73" s="19"/>
      <c r="K73" s="20">
        <f>IF(AND(ISNUMBER(I73),I73&gt;0,ISNUMBER(J73)), J73/I73, 0)</f>
      </c>
      <c r="L73" s="21"/>
      <c r="M73" s="19">
        <f>IF(AND(ISNUMBER(J73),ISNUMBER(L73)), J73*L73, 0)</f>
      </c>
      <c r="N73" s="19">
        <f>IF(AND(ISNUMBER(J73),ISNUMBER(L73)), (J73*L73)-J73, 0)</f>
      </c>
      <c r="O73" s="22">
        <f>IF(H73="Ganada", M73-J73, IF(H73="Perdida", -J73, IF(OR(H73="Cancelada",H73="Reembolsada",H73="Pendiente"), 0, 0)))</f>
      </c>
      <c r="P73" s="19">
        <f>IF(H73="Pendiente", I73, IF(ISNUMBER(I73), I73+O73, I73))</f>
      </c>
      <c r="Q73" s="20">
        <f>IF(AND(ISNUMBER(J73),J73&gt;0), O73/J73, 0)</f>
      </c>
      <c r="R73" s="20">
        <f>IF(AND(ISNUMBER(I73),I73&gt;0,ISNUMBER(J73)), J73/I73, 0)</f>
      </c>
      <c r="S73" s="22">
        <f>IF(ISNUMBER(O73), SUM($O$6:O73), 0)</f>
      </c>
      <c r="T73" s="16">
        <f>IF(ISBLANK(H73), "", IF(R73&gt;GESTION_BANCA!$C$6, "🔴 EXCESO RIESGO", IF(R73&gt;GESTION_BANCA!$C$7, "🟡 PRECAUCIÓN", "🟢 DENTRO LÍMITE")))</f>
      </c>
      <c r="U73" s="17"/>
    </row>
    <row r="74" spans="1:21" x14ac:dyDescent="0.25">
      <c r="A74" s="16" t="s">
        <v>200</v>
      </c>
      <c r="B74" s="16"/>
      <c r="C74" s="16"/>
      <c r="D74" s="17"/>
      <c r="E74" s="17"/>
      <c r="F74" s="17"/>
      <c r="G74" s="17"/>
      <c r="H74" s="16"/>
      <c r="I74" s="19">
        <f>P73</f>
      </c>
      <c r="J74" s="19"/>
      <c r="K74" s="20">
        <f>IF(AND(ISNUMBER(I74),I74&gt;0,ISNUMBER(J74)), J74/I74, 0)</f>
      </c>
      <c r="L74" s="21"/>
      <c r="M74" s="19">
        <f>IF(AND(ISNUMBER(J74),ISNUMBER(L74)), J74*L74, 0)</f>
      </c>
      <c r="N74" s="19">
        <f>IF(AND(ISNUMBER(J74),ISNUMBER(L74)), (J74*L74)-J74, 0)</f>
      </c>
      <c r="O74" s="22">
        <f>IF(H74="Ganada", M74-J74, IF(H74="Perdida", -J74, IF(OR(H74="Cancelada",H74="Reembolsada",H74="Pendiente"), 0, 0)))</f>
      </c>
      <c r="P74" s="19">
        <f>IF(H74="Pendiente", I74, IF(ISNUMBER(I74), I74+O74, I74))</f>
      </c>
      <c r="Q74" s="20">
        <f>IF(AND(ISNUMBER(J74),J74&gt;0), O74/J74, 0)</f>
      </c>
      <c r="R74" s="20">
        <f>IF(AND(ISNUMBER(I74),I74&gt;0,ISNUMBER(J74)), J74/I74, 0)</f>
      </c>
      <c r="S74" s="22">
        <f>IF(ISNUMBER(O74), SUM($O$6:O74), 0)</f>
      </c>
      <c r="T74" s="16">
        <f>IF(ISBLANK(H74), "", IF(R74&gt;GESTION_BANCA!$C$6, "🔴 EXCESO RIESGO", IF(R74&gt;GESTION_BANCA!$C$7, "🟡 PRECAUCIÓN", "🟢 DENTRO LÍMITE")))</f>
      </c>
      <c r="U74" s="17"/>
    </row>
    <row r="75" spans="1:21" x14ac:dyDescent="0.25">
      <c r="A75" s="16" t="s">
        <v>201</v>
      </c>
      <c r="B75" s="16"/>
      <c r="C75" s="16"/>
      <c r="D75" s="17"/>
      <c r="E75" s="17"/>
      <c r="F75" s="17"/>
      <c r="G75" s="17"/>
      <c r="H75" s="16"/>
      <c r="I75" s="19">
        <f>P74</f>
      </c>
      <c r="J75" s="19"/>
      <c r="K75" s="20">
        <f>IF(AND(ISNUMBER(I75),I75&gt;0,ISNUMBER(J75)), J75/I75, 0)</f>
      </c>
      <c r="L75" s="21"/>
      <c r="M75" s="19">
        <f>IF(AND(ISNUMBER(J75),ISNUMBER(L75)), J75*L75, 0)</f>
      </c>
      <c r="N75" s="19">
        <f>IF(AND(ISNUMBER(J75),ISNUMBER(L75)), (J75*L75)-J75, 0)</f>
      </c>
      <c r="O75" s="22">
        <f>IF(H75="Ganada", M75-J75, IF(H75="Perdida", -J75, IF(OR(H75="Cancelada",H75="Reembolsada",H75="Pendiente"), 0, 0)))</f>
      </c>
      <c r="P75" s="19">
        <f>IF(H75="Pendiente", I75, IF(ISNUMBER(I75), I75+O75, I75))</f>
      </c>
      <c r="Q75" s="20">
        <f>IF(AND(ISNUMBER(J75),J75&gt;0), O75/J75, 0)</f>
      </c>
      <c r="R75" s="20">
        <f>IF(AND(ISNUMBER(I75),I75&gt;0,ISNUMBER(J75)), J75/I75, 0)</f>
      </c>
      <c r="S75" s="22">
        <f>IF(ISNUMBER(O75), SUM($O$6:O75), 0)</f>
      </c>
      <c r="T75" s="16">
        <f>IF(ISBLANK(H75), "", IF(R75&gt;GESTION_BANCA!$C$6, "🔴 EXCESO RIESGO", IF(R75&gt;GESTION_BANCA!$C$7, "🟡 PRECAUCIÓN", "🟢 DENTRO LÍMITE")))</f>
      </c>
      <c r="U75" s="17"/>
    </row>
    <row r="76" spans="1:21" x14ac:dyDescent="0.25">
      <c r="A76" s="16" t="s">
        <v>202</v>
      </c>
      <c r="B76" s="16"/>
      <c r="C76" s="16"/>
      <c r="D76" s="17"/>
      <c r="E76" s="17"/>
      <c r="F76" s="17"/>
      <c r="G76" s="17"/>
      <c r="H76" s="16"/>
      <c r="I76" s="19">
        <f>P75</f>
      </c>
      <c r="J76" s="19"/>
      <c r="K76" s="20">
        <f>IF(AND(ISNUMBER(I76),I76&gt;0,ISNUMBER(J76)), J76/I76, 0)</f>
      </c>
      <c r="L76" s="21"/>
      <c r="M76" s="19">
        <f>IF(AND(ISNUMBER(J76),ISNUMBER(L76)), J76*L76, 0)</f>
      </c>
      <c r="N76" s="19">
        <f>IF(AND(ISNUMBER(J76),ISNUMBER(L76)), (J76*L76)-J76, 0)</f>
      </c>
      <c r="O76" s="22">
        <f>IF(H76="Ganada", M76-J76, IF(H76="Perdida", -J76, IF(OR(H76="Cancelada",H76="Reembolsada",H76="Pendiente"), 0, 0)))</f>
      </c>
      <c r="P76" s="19">
        <f>IF(H76="Pendiente", I76, IF(ISNUMBER(I76), I76+O76, I76))</f>
      </c>
      <c r="Q76" s="20">
        <f>IF(AND(ISNUMBER(J76),J76&gt;0), O76/J76, 0)</f>
      </c>
      <c r="R76" s="20">
        <f>IF(AND(ISNUMBER(I76),I76&gt;0,ISNUMBER(J76)), J76/I76, 0)</f>
      </c>
      <c r="S76" s="22">
        <f>IF(ISNUMBER(O76), SUM($O$6:O76), 0)</f>
      </c>
      <c r="T76" s="16">
        <f>IF(ISBLANK(H76), "", IF(R76&gt;GESTION_BANCA!$C$6, "🔴 EXCESO RIESGO", IF(R76&gt;GESTION_BANCA!$C$7, "🟡 PRECAUCIÓN", "🟢 DENTRO LÍMITE")))</f>
      </c>
      <c r="U76" s="17"/>
    </row>
    <row r="77" spans="1:21" x14ac:dyDescent="0.25">
      <c r="A77" s="16" t="s">
        <v>203</v>
      </c>
      <c r="B77" s="16"/>
      <c r="C77" s="16"/>
      <c r="D77" s="17"/>
      <c r="E77" s="17"/>
      <c r="F77" s="17"/>
      <c r="G77" s="17"/>
      <c r="H77" s="16"/>
      <c r="I77" s="19">
        <f>P76</f>
      </c>
      <c r="J77" s="19"/>
      <c r="K77" s="20">
        <f>IF(AND(ISNUMBER(I77),I77&gt;0,ISNUMBER(J77)), J77/I77, 0)</f>
      </c>
      <c r="L77" s="21"/>
      <c r="M77" s="19">
        <f>IF(AND(ISNUMBER(J77),ISNUMBER(L77)), J77*L77, 0)</f>
      </c>
      <c r="N77" s="19">
        <f>IF(AND(ISNUMBER(J77),ISNUMBER(L77)), (J77*L77)-J77, 0)</f>
      </c>
      <c r="O77" s="22">
        <f>IF(H77="Ganada", M77-J77, IF(H77="Perdida", -J77, IF(OR(H77="Cancelada",H77="Reembolsada",H77="Pendiente"), 0, 0)))</f>
      </c>
      <c r="P77" s="19">
        <f>IF(H77="Pendiente", I77, IF(ISNUMBER(I77), I77+O77, I77))</f>
      </c>
      <c r="Q77" s="20">
        <f>IF(AND(ISNUMBER(J77),J77&gt;0), O77/J77, 0)</f>
      </c>
      <c r="R77" s="20">
        <f>IF(AND(ISNUMBER(I77),I77&gt;0,ISNUMBER(J77)), J77/I77, 0)</f>
      </c>
      <c r="S77" s="22">
        <f>IF(ISNUMBER(O77), SUM($O$6:O77), 0)</f>
      </c>
      <c r="T77" s="16">
        <f>IF(ISBLANK(H77), "", IF(R77&gt;GESTION_BANCA!$C$6, "🔴 EXCESO RIESGO", IF(R77&gt;GESTION_BANCA!$C$7, "🟡 PRECAUCIÓN", "🟢 DENTRO LÍMITE")))</f>
      </c>
      <c r="U77" s="17"/>
    </row>
    <row r="78" spans="1:21" x14ac:dyDescent="0.25">
      <c r="A78" s="16" t="s">
        <v>204</v>
      </c>
      <c r="B78" s="16"/>
      <c r="C78" s="16"/>
      <c r="D78" s="17"/>
      <c r="E78" s="17"/>
      <c r="F78" s="17"/>
      <c r="G78" s="17"/>
      <c r="H78" s="16"/>
      <c r="I78" s="19">
        <f>P77</f>
      </c>
      <c r="J78" s="19"/>
      <c r="K78" s="20">
        <f>IF(AND(ISNUMBER(I78),I78&gt;0,ISNUMBER(J78)), J78/I78, 0)</f>
      </c>
      <c r="L78" s="21"/>
      <c r="M78" s="19">
        <f>IF(AND(ISNUMBER(J78),ISNUMBER(L78)), J78*L78, 0)</f>
      </c>
      <c r="N78" s="19">
        <f>IF(AND(ISNUMBER(J78),ISNUMBER(L78)), (J78*L78)-J78, 0)</f>
      </c>
      <c r="O78" s="22">
        <f>IF(H78="Ganada", M78-J78, IF(H78="Perdida", -J78, IF(OR(H78="Cancelada",H78="Reembolsada",H78="Pendiente"), 0, 0)))</f>
      </c>
      <c r="P78" s="19">
        <f>IF(H78="Pendiente", I78, IF(ISNUMBER(I78), I78+O78, I78))</f>
      </c>
      <c r="Q78" s="20">
        <f>IF(AND(ISNUMBER(J78),J78&gt;0), O78/J78, 0)</f>
      </c>
      <c r="R78" s="20">
        <f>IF(AND(ISNUMBER(I78),I78&gt;0,ISNUMBER(J78)), J78/I78, 0)</f>
      </c>
      <c r="S78" s="22">
        <f>IF(ISNUMBER(O78), SUM($O$6:O78), 0)</f>
      </c>
      <c r="T78" s="16">
        <f>IF(ISBLANK(H78), "", IF(R78&gt;GESTION_BANCA!$C$6, "🔴 EXCESO RIESGO", IF(R78&gt;GESTION_BANCA!$C$7, "🟡 PRECAUCIÓN", "🟢 DENTRO LÍMITE")))</f>
      </c>
      <c r="U78" s="17"/>
    </row>
    <row r="79" spans="1:21" x14ac:dyDescent="0.25">
      <c r="A79" s="16" t="s">
        <v>205</v>
      </c>
      <c r="B79" s="16"/>
      <c r="C79" s="16"/>
      <c r="D79" s="17"/>
      <c r="E79" s="17"/>
      <c r="F79" s="17"/>
      <c r="G79" s="17"/>
      <c r="H79" s="16"/>
      <c r="I79" s="19">
        <f>P78</f>
      </c>
      <c r="J79" s="19"/>
      <c r="K79" s="20">
        <f>IF(AND(ISNUMBER(I79),I79&gt;0,ISNUMBER(J79)), J79/I79, 0)</f>
      </c>
      <c r="L79" s="21"/>
      <c r="M79" s="19">
        <f>IF(AND(ISNUMBER(J79),ISNUMBER(L79)), J79*L79, 0)</f>
      </c>
      <c r="N79" s="19">
        <f>IF(AND(ISNUMBER(J79),ISNUMBER(L79)), (J79*L79)-J79, 0)</f>
      </c>
      <c r="O79" s="22">
        <f>IF(H79="Ganada", M79-J79, IF(H79="Perdida", -J79, IF(OR(H79="Cancelada",H79="Reembolsada",H79="Pendiente"), 0, 0)))</f>
      </c>
      <c r="P79" s="19">
        <f>IF(H79="Pendiente", I79, IF(ISNUMBER(I79), I79+O79, I79))</f>
      </c>
      <c r="Q79" s="20">
        <f>IF(AND(ISNUMBER(J79),J79&gt;0), O79/J79, 0)</f>
      </c>
      <c r="R79" s="20">
        <f>IF(AND(ISNUMBER(I79),I79&gt;0,ISNUMBER(J79)), J79/I79, 0)</f>
      </c>
      <c r="S79" s="22">
        <f>IF(ISNUMBER(O79), SUM($O$6:O79), 0)</f>
      </c>
      <c r="T79" s="16">
        <f>IF(ISBLANK(H79), "", IF(R79&gt;GESTION_BANCA!$C$6, "🔴 EXCESO RIESGO", IF(R79&gt;GESTION_BANCA!$C$7, "🟡 PRECAUCIÓN", "🟢 DENTRO LÍMITE")))</f>
      </c>
      <c r="U79" s="17"/>
    </row>
    <row r="80" spans="1:21" x14ac:dyDescent="0.25">
      <c r="A80" s="16" t="s">
        <v>206</v>
      </c>
      <c r="B80" s="16"/>
      <c r="C80" s="16"/>
      <c r="D80" s="17"/>
      <c r="E80" s="17"/>
      <c r="F80" s="17"/>
      <c r="G80" s="17"/>
      <c r="H80" s="16"/>
      <c r="I80" s="19">
        <f>P79</f>
      </c>
      <c r="J80" s="19"/>
      <c r="K80" s="20">
        <f>IF(AND(ISNUMBER(I80),I80&gt;0,ISNUMBER(J80)), J80/I80, 0)</f>
      </c>
      <c r="L80" s="21"/>
      <c r="M80" s="19">
        <f>IF(AND(ISNUMBER(J80),ISNUMBER(L80)), J80*L80, 0)</f>
      </c>
      <c r="N80" s="19">
        <f>IF(AND(ISNUMBER(J80),ISNUMBER(L80)), (J80*L80)-J80, 0)</f>
      </c>
      <c r="O80" s="22">
        <f>IF(H80="Ganada", M80-J80, IF(H80="Perdida", -J80, IF(OR(H80="Cancelada",H80="Reembolsada",H80="Pendiente"), 0, 0)))</f>
      </c>
      <c r="P80" s="19">
        <f>IF(H80="Pendiente", I80, IF(ISNUMBER(I80), I80+O80, I80))</f>
      </c>
      <c r="Q80" s="20">
        <f>IF(AND(ISNUMBER(J80),J80&gt;0), O80/J80, 0)</f>
      </c>
      <c r="R80" s="20">
        <f>IF(AND(ISNUMBER(I80),I80&gt;0,ISNUMBER(J80)), J80/I80, 0)</f>
      </c>
      <c r="S80" s="22">
        <f>IF(ISNUMBER(O80), SUM($O$6:O80), 0)</f>
      </c>
      <c r="T80" s="16">
        <f>IF(ISBLANK(H80), "", IF(R80&gt;GESTION_BANCA!$C$6, "🔴 EXCESO RIESGO", IF(R80&gt;GESTION_BANCA!$C$7, "🟡 PRECAUCIÓN", "🟢 DENTRO LÍMITE")))</f>
      </c>
      <c r="U80" s="17"/>
    </row>
    <row r="81" spans="1:21" x14ac:dyDescent="0.25">
      <c r="A81" s="16" t="s">
        <v>207</v>
      </c>
      <c r="B81" s="16"/>
      <c r="C81" s="16"/>
      <c r="D81" s="17"/>
      <c r="E81" s="17"/>
      <c r="F81" s="17"/>
      <c r="G81" s="17"/>
      <c r="H81" s="16"/>
      <c r="I81" s="19">
        <f>P80</f>
      </c>
      <c r="J81" s="19"/>
      <c r="K81" s="20">
        <f>IF(AND(ISNUMBER(I81),I81&gt;0,ISNUMBER(J81)), J81/I81, 0)</f>
      </c>
      <c r="L81" s="21"/>
      <c r="M81" s="19">
        <f>IF(AND(ISNUMBER(J81),ISNUMBER(L81)), J81*L81, 0)</f>
      </c>
      <c r="N81" s="19">
        <f>IF(AND(ISNUMBER(J81),ISNUMBER(L81)), (J81*L81)-J81, 0)</f>
      </c>
      <c r="O81" s="22">
        <f>IF(H81="Ganada", M81-J81, IF(H81="Perdida", -J81, IF(OR(H81="Cancelada",H81="Reembolsada",H81="Pendiente"), 0, 0)))</f>
      </c>
      <c r="P81" s="19">
        <f>IF(H81="Pendiente", I81, IF(ISNUMBER(I81), I81+O81, I81))</f>
      </c>
      <c r="Q81" s="20">
        <f>IF(AND(ISNUMBER(J81),J81&gt;0), O81/J81, 0)</f>
      </c>
      <c r="R81" s="20">
        <f>IF(AND(ISNUMBER(I81),I81&gt;0,ISNUMBER(J81)), J81/I81, 0)</f>
      </c>
      <c r="S81" s="22">
        <f>IF(ISNUMBER(O81), SUM($O$6:O81), 0)</f>
      </c>
      <c r="T81" s="16">
        <f>IF(ISBLANK(H81), "", IF(R81&gt;GESTION_BANCA!$C$6, "🔴 EXCESO RIESGO", IF(R81&gt;GESTION_BANCA!$C$7, "🟡 PRECAUCIÓN", "🟢 DENTRO LÍMITE")))</f>
      </c>
      <c r="U81" s="17"/>
    </row>
    <row r="82" spans="1:21" x14ac:dyDescent="0.25">
      <c r="A82" s="16" t="s">
        <v>208</v>
      </c>
      <c r="B82" s="16"/>
      <c r="C82" s="16"/>
      <c r="D82" s="17"/>
      <c r="E82" s="17"/>
      <c r="F82" s="17"/>
      <c r="G82" s="17"/>
      <c r="H82" s="16"/>
      <c r="I82" s="19">
        <f>P81</f>
      </c>
      <c r="J82" s="19"/>
      <c r="K82" s="20">
        <f>IF(AND(ISNUMBER(I82),I82&gt;0,ISNUMBER(J82)), J82/I82, 0)</f>
      </c>
      <c r="L82" s="21"/>
      <c r="M82" s="19">
        <f>IF(AND(ISNUMBER(J82),ISNUMBER(L82)), J82*L82, 0)</f>
      </c>
      <c r="N82" s="19">
        <f>IF(AND(ISNUMBER(J82),ISNUMBER(L82)), (J82*L82)-J82, 0)</f>
      </c>
      <c r="O82" s="22">
        <f>IF(H82="Ganada", M82-J82, IF(H82="Perdida", -J82, IF(OR(H82="Cancelada",H82="Reembolsada",H82="Pendiente"), 0, 0)))</f>
      </c>
      <c r="P82" s="19">
        <f>IF(H82="Pendiente", I82, IF(ISNUMBER(I82), I82+O82, I82))</f>
      </c>
      <c r="Q82" s="20">
        <f>IF(AND(ISNUMBER(J82),J82&gt;0), O82/J82, 0)</f>
      </c>
      <c r="R82" s="20">
        <f>IF(AND(ISNUMBER(I82),I82&gt;0,ISNUMBER(J82)), J82/I82, 0)</f>
      </c>
      <c r="S82" s="22">
        <f>IF(ISNUMBER(O82), SUM($O$6:O82), 0)</f>
      </c>
      <c r="T82" s="16">
        <f>IF(ISBLANK(H82), "", IF(R82&gt;GESTION_BANCA!$C$6, "🔴 EXCESO RIESGO", IF(R82&gt;GESTION_BANCA!$C$7, "🟡 PRECAUCIÓN", "🟢 DENTRO LÍMITE")))</f>
      </c>
      <c r="U82" s="17"/>
    </row>
    <row r="83" spans="1:21" x14ac:dyDescent="0.25">
      <c r="A83" s="16" t="s">
        <v>209</v>
      </c>
      <c r="B83" s="16"/>
      <c r="C83" s="16"/>
      <c r="D83" s="17"/>
      <c r="E83" s="17"/>
      <c r="F83" s="17"/>
      <c r="G83" s="17"/>
      <c r="H83" s="16"/>
      <c r="I83" s="19">
        <f>P82</f>
      </c>
      <c r="J83" s="19"/>
      <c r="K83" s="20">
        <f>IF(AND(ISNUMBER(I83),I83&gt;0,ISNUMBER(J83)), J83/I83, 0)</f>
      </c>
      <c r="L83" s="21"/>
      <c r="M83" s="19">
        <f>IF(AND(ISNUMBER(J83),ISNUMBER(L83)), J83*L83, 0)</f>
      </c>
      <c r="N83" s="19">
        <f>IF(AND(ISNUMBER(J83),ISNUMBER(L83)), (J83*L83)-J83, 0)</f>
      </c>
      <c r="O83" s="22">
        <f>IF(H83="Ganada", M83-J83, IF(H83="Perdida", -J83, IF(OR(H83="Cancelada",H83="Reembolsada",H83="Pendiente"), 0, 0)))</f>
      </c>
      <c r="P83" s="19">
        <f>IF(H83="Pendiente", I83, IF(ISNUMBER(I83), I83+O83, I83))</f>
      </c>
      <c r="Q83" s="20">
        <f>IF(AND(ISNUMBER(J83),J83&gt;0), O83/J83, 0)</f>
      </c>
      <c r="R83" s="20">
        <f>IF(AND(ISNUMBER(I83),I83&gt;0,ISNUMBER(J83)), J83/I83, 0)</f>
      </c>
      <c r="S83" s="22">
        <f>IF(ISNUMBER(O83), SUM($O$6:O83), 0)</f>
      </c>
      <c r="T83" s="16">
        <f>IF(ISBLANK(H83), "", IF(R83&gt;GESTION_BANCA!$C$6, "🔴 EXCESO RIESGO", IF(R83&gt;GESTION_BANCA!$C$7, "🟡 PRECAUCIÓN", "🟢 DENTRO LÍMITE")))</f>
      </c>
      <c r="U83" s="17"/>
    </row>
    <row r="84" spans="1:21" x14ac:dyDescent="0.25">
      <c r="A84" s="16" t="s">
        <v>210</v>
      </c>
      <c r="B84" s="16"/>
      <c r="C84" s="16"/>
      <c r="D84" s="17"/>
      <c r="E84" s="17"/>
      <c r="F84" s="17"/>
      <c r="G84" s="17"/>
      <c r="H84" s="16"/>
      <c r="I84" s="19">
        <f>P83</f>
      </c>
      <c r="J84" s="19"/>
      <c r="K84" s="20">
        <f>IF(AND(ISNUMBER(I84),I84&gt;0,ISNUMBER(J84)), J84/I84, 0)</f>
      </c>
      <c r="L84" s="21"/>
      <c r="M84" s="19">
        <f>IF(AND(ISNUMBER(J84),ISNUMBER(L84)), J84*L84, 0)</f>
      </c>
      <c r="N84" s="19">
        <f>IF(AND(ISNUMBER(J84),ISNUMBER(L84)), (J84*L84)-J84, 0)</f>
      </c>
      <c r="O84" s="22">
        <f>IF(H84="Ganada", M84-J84, IF(H84="Perdida", -J84, IF(OR(H84="Cancelada",H84="Reembolsada",H84="Pendiente"), 0, 0)))</f>
      </c>
      <c r="P84" s="19">
        <f>IF(H84="Pendiente", I84, IF(ISNUMBER(I84), I84+O84, I84))</f>
      </c>
      <c r="Q84" s="20">
        <f>IF(AND(ISNUMBER(J84),J84&gt;0), O84/J84, 0)</f>
      </c>
      <c r="R84" s="20">
        <f>IF(AND(ISNUMBER(I84),I84&gt;0,ISNUMBER(J84)), J84/I84, 0)</f>
      </c>
      <c r="S84" s="22">
        <f>IF(ISNUMBER(O84), SUM($O$6:O84), 0)</f>
      </c>
      <c r="T84" s="16">
        <f>IF(ISBLANK(H84), "", IF(R84&gt;GESTION_BANCA!$C$6, "🔴 EXCESO RIESGO", IF(R84&gt;GESTION_BANCA!$C$7, "🟡 PRECAUCIÓN", "🟢 DENTRO LÍMITE")))</f>
      </c>
      <c r="U84" s="17"/>
    </row>
    <row r="85" spans="1:21" x14ac:dyDescent="0.25">
      <c r="A85" s="16" t="s">
        <v>211</v>
      </c>
      <c r="B85" s="16"/>
      <c r="C85" s="16"/>
      <c r="D85" s="17"/>
      <c r="E85" s="17"/>
      <c r="F85" s="17"/>
      <c r="G85" s="17"/>
      <c r="H85" s="16"/>
      <c r="I85" s="19">
        <f>P84</f>
      </c>
      <c r="J85" s="19"/>
      <c r="K85" s="20">
        <f>IF(AND(ISNUMBER(I85),I85&gt;0,ISNUMBER(J85)), J85/I85, 0)</f>
      </c>
      <c r="L85" s="21"/>
      <c r="M85" s="19">
        <f>IF(AND(ISNUMBER(J85),ISNUMBER(L85)), J85*L85, 0)</f>
      </c>
      <c r="N85" s="19">
        <f>IF(AND(ISNUMBER(J85),ISNUMBER(L85)), (J85*L85)-J85, 0)</f>
      </c>
      <c r="O85" s="22">
        <f>IF(H85="Ganada", M85-J85, IF(H85="Perdida", -J85, IF(OR(H85="Cancelada",H85="Reembolsada",H85="Pendiente"), 0, 0)))</f>
      </c>
      <c r="P85" s="19">
        <f>IF(H85="Pendiente", I85, IF(ISNUMBER(I85), I85+O85, I85))</f>
      </c>
      <c r="Q85" s="20">
        <f>IF(AND(ISNUMBER(J85),J85&gt;0), O85/J85, 0)</f>
      </c>
      <c r="R85" s="20">
        <f>IF(AND(ISNUMBER(I85),I85&gt;0,ISNUMBER(J85)), J85/I85, 0)</f>
      </c>
      <c r="S85" s="22">
        <f>IF(ISNUMBER(O85), SUM($O$6:O85), 0)</f>
      </c>
      <c r="T85" s="16">
        <f>IF(ISBLANK(H85), "", IF(R85&gt;GESTION_BANCA!$C$6, "🔴 EXCESO RIESGO", IF(R85&gt;GESTION_BANCA!$C$7, "🟡 PRECAUCIÓN", "🟢 DENTRO LÍMITE")))</f>
      </c>
      <c r="U85" s="17"/>
    </row>
    <row r="86" spans="1:21" x14ac:dyDescent="0.25">
      <c r="A86" s="16" t="s">
        <v>212</v>
      </c>
      <c r="B86" s="16"/>
      <c r="C86" s="16"/>
      <c r="D86" s="17"/>
      <c r="E86" s="17"/>
      <c r="F86" s="17"/>
      <c r="G86" s="17"/>
      <c r="H86" s="16"/>
      <c r="I86" s="19">
        <f>P85</f>
      </c>
      <c r="J86" s="19"/>
      <c r="K86" s="20">
        <f>IF(AND(ISNUMBER(I86),I86&gt;0,ISNUMBER(J86)), J86/I86, 0)</f>
      </c>
      <c r="L86" s="21"/>
      <c r="M86" s="19">
        <f>IF(AND(ISNUMBER(J86),ISNUMBER(L86)), J86*L86, 0)</f>
      </c>
      <c r="N86" s="19">
        <f>IF(AND(ISNUMBER(J86),ISNUMBER(L86)), (J86*L86)-J86, 0)</f>
      </c>
      <c r="O86" s="22">
        <f>IF(H86="Ganada", M86-J86, IF(H86="Perdida", -J86, IF(OR(H86="Cancelada",H86="Reembolsada",H86="Pendiente"), 0, 0)))</f>
      </c>
      <c r="P86" s="19">
        <f>IF(H86="Pendiente", I86, IF(ISNUMBER(I86), I86+O86, I86))</f>
      </c>
      <c r="Q86" s="20">
        <f>IF(AND(ISNUMBER(J86),J86&gt;0), O86/J86, 0)</f>
      </c>
      <c r="R86" s="20">
        <f>IF(AND(ISNUMBER(I86),I86&gt;0,ISNUMBER(J86)), J86/I86, 0)</f>
      </c>
      <c r="S86" s="22">
        <f>IF(ISNUMBER(O86), SUM($O$6:O86), 0)</f>
      </c>
      <c r="T86" s="16">
        <f>IF(ISBLANK(H86), "", IF(R86&gt;GESTION_BANCA!$C$6, "🔴 EXCESO RIESGO", IF(R86&gt;GESTION_BANCA!$C$7, "🟡 PRECAUCIÓN", "🟢 DENTRO LÍMITE")))</f>
      </c>
      <c r="U86" s="17"/>
    </row>
    <row r="87" spans="1:21" x14ac:dyDescent="0.25">
      <c r="A87" s="16" t="s">
        <v>213</v>
      </c>
      <c r="B87" s="16"/>
      <c r="C87" s="16"/>
      <c r="D87" s="17"/>
      <c r="E87" s="17"/>
      <c r="F87" s="17"/>
      <c r="G87" s="17"/>
      <c r="H87" s="16"/>
      <c r="I87" s="19">
        <f>P86</f>
      </c>
      <c r="J87" s="19"/>
      <c r="K87" s="20">
        <f>IF(AND(ISNUMBER(I87),I87&gt;0,ISNUMBER(J87)), J87/I87, 0)</f>
      </c>
      <c r="L87" s="21"/>
      <c r="M87" s="19">
        <f>IF(AND(ISNUMBER(J87),ISNUMBER(L87)), J87*L87, 0)</f>
      </c>
      <c r="N87" s="19">
        <f>IF(AND(ISNUMBER(J87),ISNUMBER(L87)), (J87*L87)-J87, 0)</f>
      </c>
      <c r="O87" s="22">
        <f>IF(H87="Ganada", M87-J87, IF(H87="Perdida", -J87, IF(OR(H87="Cancelada",H87="Reembolsada",H87="Pendiente"), 0, 0)))</f>
      </c>
      <c r="P87" s="19">
        <f>IF(H87="Pendiente", I87, IF(ISNUMBER(I87), I87+O87, I87))</f>
      </c>
      <c r="Q87" s="20">
        <f>IF(AND(ISNUMBER(J87),J87&gt;0), O87/J87, 0)</f>
      </c>
      <c r="R87" s="20">
        <f>IF(AND(ISNUMBER(I87),I87&gt;0,ISNUMBER(J87)), J87/I87, 0)</f>
      </c>
      <c r="S87" s="22">
        <f>IF(ISNUMBER(O87), SUM($O$6:O87), 0)</f>
      </c>
      <c r="T87" s="16">
        <f>IF(ISBLANK(H87), "", IF(R87&gt;GESTION_BANCA!$C$6, "🔴 EXCESO RIESGO", IF(R87&gt;GESTION_BANCA!$C$7, "🟡 PRECAUCIÓN", "🟢 DENTRO LÍMITE")))</f>
      </c>
      <c r="U87" s="17"/>
    </row>
    <row r="88" spans="1:21" x14ac:dyDescent="0.25">
      <c r="A88" s="16" t="s">
        <v>214</v>
      </c>
      <c r="B88" s="16"/>
      <c r="C88" s="16"/>
      <c r="D88" s="17"/>
      <c r="E88" s="17"/>
      <c r="F88" s="17"/>
      <c r="G88" s="17"/>
      <c r="H88" s="16"/>
      <c r="I88" s="19">
        <f>P87</f>
      </c>
      <c r="J88" s="19"/>
      <c r="K88" s="20">
        <f>IF(AND(ISNUMBER(I88),I88&gt;0,ISNUMBER(J88)), J88/I88, 0)</f>
      </c>
      <c r="L88" s="21"/>
      <c r="M88" s="19">
        <f>IF(AND(ISNUMBER(J88),ISNUMBER(L88)), J88*L88, 0)</f>
      </c>
      <c r="N88" s="19">
        <f>IF(AND(ISNUMBER(J88),ISNUMBER(L88)), (J88*L88)-J88, 0)</f>
      </c>
      <c r="O88" s="22">
        <f>IF(H88="Ganada", M88-J88, IF(H88="Perdida", -J88, IF(OR(H88="Cancelada",H88="Reembolsada",H88="Pendiente"), 0, 0)))</f>
      </c>
      <c r="P88" s="19">
        <f>IF(H88="Pendiente", I88, IF(ISNUMBER(I88), I88+O88, I88))</f>
      </c>
      <c r="Q88" s="20">
        <f>IF(AND(ISNUMBER(J88),J88&gt;0), O88/J88, 0)</f>
      </c>
      <c r="R88" s="20">
        <f>IF(AND(ISNUMBER(I88),I88&gt;0,ISNUMBER(J88)), J88/I88, 0)</f>
      </c>
      <c r="S88" s="22">
        <f>IF(ISNUMBER(O88), SUM($O$6:O88), 0)</f>
      </c>
      <c r="T88" s="16">
        <f>IF(ISBLANK(H88), "", IF(R88&gt;GESTION_BANCA!$C$6, "🔴 EXCESO RIESGO", IF(R88&gt;GESTION_BANCA!$C$7, "🟡 PRECAUCIÓN", "🟢 DENTRO LÍMITE")))</f>
      </c>
      <c r="U88" s="17"/>
    </row>
    <row r="89" spans="1:21" x14ac:dyDescent="0.25">
      <c r="A89" s="16" t="s">
        <v>215</v>
      </c>
      <c r="B89" s="16"/>
      <c r="C89" s="16"/>
      <c r="D89" s="17"/>
      <c r="E89" s="17"/>
      <c r="F89" s="17"/>
      <c r="G89" s="17"/>
      <c r="H89" s="16"/>
      <c r="I89" s="19">
        <f>P88</f>
      </c>
      <c r="J89" s="19"/>
      <c r="K89" s="20">
        <f>IF(AND(ISNUMBER(I89),I89&gt;0,ISNUMBER(J89)), J89/I89, 0)</f>
      </c>
      <c r="L89" s="21"/>
      <c r="M89" s="19">
        <f>IF(AND(ISNUMBER(J89),ISNUMBER(L89)), J89*L89, 0)</f>
      </c>
      <c r="N89" s="19">
        <f>IF(AND(ISNUMBER(J89),ISNUMBER(L89)), (J89*L89)-J89, 0)</f>
      </c>
      <c r="O89" s="22">
        <f>IF(H89="Ganada", M89-J89, IF(H89="Perdida", -J89, IF(OR(H89="Cancelada",H89="Reembolsada",H89="Pendiente"), 0, 0)))</f>
      </c>
      <c r="P89" s="19">
        <f>IF(H89="Pendiente", I89, IF(ISNUMBER(I89), I89+O89, I89))</f>
      </c>
      <c r="Q89" s="20">
        <f>IF(AND(ISNUMBER(J89),J89&gt;0), O89/J89, 0)</f>
      </c>
      <c r="R89" s="20">
        <f>IF(AND(ISNUMBER(I89),I89&gt;0,ISNUMBER(J89)), J89/I89, 0)</f>
      </c>
      <c r="S89" s="22">
        <f>IF(ISNUMBER(O89), SUM($O$6:O89), 0)</f>
      </c>
      <c r="T89" s="16">
        <f>IF(ISBLANK(H89), "", IF(R89&gt;GESTION_BANCA!$C$6, "🔴 EXCESO RIESGO", IF(R89&gt;GESTION_BANCA!$C$7, "🟡 PRECAUCIÓN", "🟢 DENTRO LÍMITE")))</f>
      </c>
      <c r="U89" s="17"/>
    </row>
    <row r="90" spans="1:21" x14ac:dyDescent="0.25">
      <c r="A90" s="16" t="s">
        <v>216</v>
      </c>
      <c r="B90" s="16"/>
      <c r="C90" s="16"/>
      <c r="D90" s="17"/>
      <c r="E90" s="17"/>
      <c r="F90" s="17"/>
      <c r="G90" s="17"/>
      <c r="H90" s="16"/>
      <c r="I90" s="19">
        <f>P89</f>
      </c>
      <c r="J90" s="19"/>
      <c r="K90" s="20">
        <f>IF(AND(ISNUMBER(I90),I90&gt;0,ISNUMBER(J90)), J90/I90, 0)</f>
      </c>
      <c r="L90" s="21"/>
      <c r="M90" s="19">
        <f>IF(AND(ISNUMBER(J90),ISNUMBER(L90)), J90*L90, 0)</f>
      </c>
      <c r="N90" s="19">
        <f>IF(AND(ISNUMBER(J90),ISNUMBER(L90)), (J90*L90)-J90, 0)</f>
      </c>
      <c r="O90" s="22">
        <f>IF(H90="Ganada", M90-J90, IF(H90="Perdida", -J90, IF(OR(H90="Cancelada",H90="Reembolsada",H90="Pendiente"), 0, 0)))</f>
      </c>
      <c r="P90" s="19">
        <f>IF(H90="Pendiente", I90, IF(ISNUMBER(I90), I90+O90, I90))</f>
      </c>
      <c r="Q90" s="20">
        <f>IF(AND(ISNUMBER(J90),J90&gt;0), O90/J90, 0)</f>
      </c>
      <c r="R90" s="20">
        <f>IF(AND(ISNUMBER(I90),I90&gt;0,ISNUMBER(J90)), J90/I90, 0)</f>
      </c>
      <c r="S90" s="22">
        <f>IF(ISNUMBER(O90), SUM($O$6:O90), 0)</f>
      </c>
      <c r="T90" s="16">
        <f>IF(ISBLANK(H90), "", IF(R90&gt;GESTION_BANCA!$C$6, "🔴 EXCESO RIESGO", IF(R90&gt;GESTION_BANCA!$C$7, "🟡 PRECAUCIÓN", "🟢 DENTRO LÍMITE")))</f>
      </c>
      <c r="U90" s="17"/>
    </row>
    <row r="91" spans="1:21" x14ac:dyDescent="0.25">
      <c r="A91" s="16" t="s">
        <v>217</v>
      </c>
      <c r="B91" s="16"/>
      <c r="C91" s="16"/>
      <c r="D91" s="17"/>
      <c r="E91" s="17"/>
      <c r="F91" s="17"/>
      <c r="G91" s="17"/>
      <c r="H91" s="16"/>
      <c r="I91" s="19">
        <f>P90</f>
      </c>
      <c r="J91" s="19"/>
      <c r="K91" s="20">
        <f>IF(AND(ISNUMBER(I91),I91&gt;0,ISNUMBER(J91)), J91/I91, 0)</f>
      </c>
      <c r="L91" s="21"/>
      <c r="M91" s="19">
        <f>IF(AND(ISNUMBER(J91),ISNUMBER(L91)), J91*L91, 0)</f>
      </c>
      <c r="N91" s="19">
        <f>IF(AND(ISNUMBER(J91),ISNUMBER(L91)), (J91*L91)-J91, 0)</f>
      </c>
      <c r="O91" s="22">
        <f>IF(H91="Ganada", M91-J91, IF(H91="Perdida", -J91, IF(OR(H91="Cancelada",H91="Reembolsada",H91="Pendiente"), 0, 0)))</f>
      </c>
      <c r="P91" s="19">
        <f>IF(H91="Pendiente", I91, IF(ISNUMBER(I91), I91+O91, I91))</f>
      </c>
      <c r="Q91" s="20">
        <f>IF(AND(ISNUMBER(J91),J91&gt;0), O91/J91, 0)</f>
      </c>
      <c r="R91" s="20">
        <f>IF(AND(ISNUMBER(I91),I91&gt;0,ISNUMBER(J91)), J91/I91, 0)</f>
      </c>
      <c r="S91" s="22">
        <f>IF(ISNUMBER(O91), SUM($O$6:O91), 0)</f>
      </c>
      <c r="T91" s="16">
        <f>IF(ISBLANK(H91), "", IF(R91&gt;GESTION_BANCA!$C$6, "🔴 EXCESO RIESGO", IF(R91&gt;GESTION_BANCA!$C$7, "🟡 PRECAUCIÓN", "🟢 DENTRO LÍMITE")))</f>
      </c>
      <c r="U91" s="17"/>
    </row>
    <row r="92" spans="1:21" x14ac:dyDescent="0.25">
      <c r="A92" s="16" t="s">
        <v>218</v>
      </c>
      <c r="B92" s="16"/>
      <c r="C92" s="16"/>
      <c r="D92" s="17"/>
      <c r="E92" s="17"/>
      <c r="F92" s="17"/>
      <c r="G92" s="17"/>
      <c r="H92" s="16"/>
      <c r="I92" s="19">
        <f>P91</f>
      </c>
      <c r="J92" s="19"/>
      <c r="K92" s="20">
        <f>IF(AND(ISNUMBER(I92),I92&gt;0,ISNUMBER(J92)), J92/I92, 0)</f>
      </c>
      <c r="L92" s="21"/>
      <c r="M92" s="19">
        <f>IF(AND(ISNUMBER(J92),ISNUMBER(L92)), J92*L92, 0)</f>
      </c>
      <c r="N92" s="19">
        <f>IF(AND(ISNUMBER(J92),ISNUMBER(L92)), (J92*L92)-J92, 0)</f>
      </c>
      <c r="O92" s="22">
        <f>IF(H92="Ganada", M92-J92, IF(H92="Perdida", -J92, IF(OR(H92="Cancelada",H92="Reembolsada",H92="Pendiente"), 0, 0)))</f>
      </c>
      <c r="P92" s="19">
        <f>IF(H92="Pendiente", I92, IF(ISNUMBER(I92), I92+O92, I92))</f>
      </c>
      <c r="Q92" s="20">
        <f>IF(AND(ISNUMBER(J92),J92&gt;0), O92/J92, 0)</f>
      </c>
      <c r="R92" s="20">
        <f>IF(AND(ISNUMBER(I92),I92&gt;0,ISNUMBER(J92)), J92/I92, 0)</f>
      </c>
      <c r="S92" s="22">
        <f>IF(ISNUMBER(O92), SUM($O$6:O92), 0)</f>
      </c>
      <c r="T92" s="16">
        <f>IF(ISBLANK(H92), "", IF(R92&gt;GESTION_BANCA!$C$6, "🔴 EXCESO RIESGO", IF(R92&gt;GESTION_BANCA!$C$7, "🟡 PRECAUCIÓN", "🟢 DENTRO LÍMITE")))</f>
      </c>
      <c r="U92" s="17"/>
    </row>
    <row r="93" spans="1:21" x14ac:dyDescent="0.25">
      <c r="A93" s="16" t="s">
        <v>219</v>
      </c>
      <c r="B93" s="16"/>
      <c r="C93" s="16"/>
      <c r="D93" s="17"/>
      <c r="E93" s="17"/>
      <c r="F93" s="17"/>
      <c r="G93" s="17"/>
      <c r="H93" s="16"/>
      <c r="I93" s="19">
        <f>P92</f>
      </c>
      <c r="J93" s="19"/>
      <c r="K93" s="20">
        <f>IF(AND(ISNUMBER(I93),I93&gt;0,ISNUMBER(J93)), J93/I93, 0)</f>
      </c>
      <c r="L93" s="21"/>
      <c r="M93" s="19">
        <f>IF(AND(ISNUMBER(J93),ISNUMBER(L93)), J93*L93, 0)</f>
      </c>
      <c r="N93" s="19">
        <f>IF(AND(ISNUMBER(J93),ISNUMBER(L93)), (J93*L93)-J93, 0)</f>
      </c>
      <c r="O93" s="22">
        <f>IF(H93="Ganada", M93-J93, IF(H93="Perdida", -J93, IF(OR(H93="Cancelada",H93="Reembolsada",H93="Pendiente"), 0, 0)))</f>
      </c>
      <c r="P93" s="19">
        <f>IF(H93="Pendiente", I93, IF(ISNUMBER(I93), I93+O93, I93))</f>
      </c>
      <c r="Q93" s="20">
        <f>IF(AND(ISNUMBER(J93),J93&gt;0), O93/J93, 0)</f>
      </c>
      <c r="R93" s="20">
        <f>IF(AND(ISNUMBER(I93),I93&gt;0,ISNUMBER(J93)), J93/I93, 0)</f>
      </c>
      <c r="S93" s="22">
        <f>IF(ISNUMBER(O93), SUM($O$6:O93), 0)</f>
      </c>
      <c r="T93" s="16">
        <f>IF(ISBLANK(H93), "", IF(R93&gt;GESTION_BANCA!$C$6, "🔴 EXCESO RIESGO", IF(R93&gt;GESTION_BANCA!$C$7, "🟡 PRECAUCIÓN", "🟢 DENTRO LÍMITE")))</f>
      </c>
      <c r="U93" s="17"/>
    </row>
    <row r="94" spans="1:21" x14ac:dyDescent="0.25">
      <c r="A94" s="16" t="s">
        <v>220</v>
      </c>
      <c r="B94" s="16"/>
      <c r="C94" s="16"/>
      <c r="D94" s="17"/>
      <c r="E94" s="17"/>
      <c r="F94" s="17"/>
      <c r="G94" s="17"/>
      <c r="H94" s="16"/>
      <c r="I94" s="19">
        <f>P93</f>
      </c>
      <c r="J94" s="19"/>
      <c r="K94" s="20">
        <f>IF(AND(ISNUMBER(I94),I94&gt;0,ISNUMBER(J94)), J94/I94, 0)</f>
      </c>
      <c r="L94" s="21"/>
      <c r="M94" s="19">
        <f>IF(AND(ISNUMBER(J94),ISNUMBER(L94)), J94*L94, 0)</f>
      </c>
      <c r="N94" s="19">
        <f>IF(AND(ISNUMBER(J94),ISNUMBER(L94)), (J94*L94)-J94, 0)</f>
      </c>
      <c r="O94" s="22">
        <f>IF(H94="Ganada", M94-J94, IF(H94="Perdida", -J94, IF(OR(H94="Cancelada",H94="Reembolsada",H94="Pendiente"), 0, 0)))</f>
      </c>
      <c r="P94" s="19">
        <f>IF(H94="Pendiente", I94, IF(ISNUMBER(I94), I94+O94, I94))</f>
      </c>
      <c r="Q94" s="20">
        <f>IF(AND(ISNUMBER(J94),J94&gt;0), O94/J94, 0)</f>
      </c>
      <c r="R94" s="20">
        <f>IF(AND(ISNUMBER(I94),I94&gt;0,ISNUMBER(J94)), J94/I94, 0)</f>
      </c>
      <c r="S94" s="22">
        <f>IF(ISNUMBER(O94), SUM($O$6:O94), 0)</f>
      </c>
      <c r="T94" s="16">
        <f>IF(ISBLANK(H94), "", IF(R94&gt;GESTION_BANCA!$C$6, "🔴 EXCESO RIESGO", IF(R94&gt;GESTION_BANCA!$C$7, "🟡 PRECAUCIÓN", "🟢 DENTRO LÍMITE")))</f>
      </c>
      <c r="U94" s="17"/>
    </row>
    <row r="95" spans="1:21" x14ac:dyDescent="0.25">
      <c r="A95" s="16" t="s">
        <v>221</v>
      </c>
      <c r="B95" s="16"/>
      <c r="C95" s="16"/>
      <c r="D95" s="17"/>
      <c r="E95" s="17"/>
      <c r="F95" s="17"/>
      <c r="G95" s="17"/>
      <c r="H95" s="16"/>
      <c r="I95" s="19">
        <f>P94</f>
      </c>
      <c r="J95" s="19"/>
      <c r="K95" s="20">
        <f>IF(AND(ISNUMBER(I95),I95&gt;0,ISNUMBER(J95)), J95/I95, 0)</f>
      </c>
      <c r="L95" s="21"/>
      <c r="M95" s="19">
        <f>IF(AND(ISNUMBER(J95),ISNUMBER(L95)), J95*L95, 0)</f>
      </c>
      <c r="N95" s="19">
        <f>IF(AND(ISNUMBER(J95),ISNUMBER(L95)), (J95*L95)-J95, 0)</f>
      </c>
      <c r="O95" s="22">
        <f>IF(H95="Ganada", M95-J95, IF(H95="Perdida", -J95, IF(OR(H95="Cancelada",H95="Reembolsada",H95="Pendiente"), 0, 0)))</f>
      </c>
      <c r="P95" s="19">
        <f>IF(H95="Pendiente", I95, IF(ISNUMBER(I95), I95+O95, I95))</f>
      </c>
      <c r="Q95" s="20">
        <f>IF(AND(ISNUMBER(J95),J95&gt;0), O95/J95, 0)</f>
      </c>
      <c r="R95" s="20">
        <f>IF(AND(ISNUMBER(I95),I95&gt;0,ISNUMBER(J95)), J95/I95, 0)</f>
      </c>
      <c r="S95" s="22">
        <f>IF(ISNUMBER(O95), SUM($O$6:O95), 0)</f>
      </c>
      <c r="T95" s="16">
        <f>IF(ISBLANK(H95), "", IF(R95&gt;GESTION_BANCA!$C$6, "🔴 EXCESO RIESGO", IF(R95&gt;GESTION_BANCA!$C$7, "🟡 PRECAUCIÓN", "🟢 DENTRO LÍMITE")))</f>
      </c>
      <c r="U95" s="17"/>
    </row>
    <row r="96" spans="1:21" x14ac:dyDescent="0.25">
      <c r="A96" s="16" t="s">
        <v>222</v>
      </c>
      <c r="B96" s="16"/>
      <c r="C96" s="16"/>
      <c r="D96" s="17"/>
      <c r="E96" s="17"/>
      <c r="F96" s="17"/>
      <c r="G96" s="17"/>
      <c r="H96" s="16"/>
      <c r="I96" s="19">
        <f>P95</f>
      </c>
      <c r="J96" s="19"/>
      <c r="K96" s="20">
        <f>IF(AND(ISNUMBER(I96),I96&gt;0,ISNUMBER(J96)), J96/I96, 0)</f>
      </c>
      <c r="L96" s="21"/>
      <c r="M96" s="19">
        <f>IF(AND(ISNUMBER(J96),ISNUMBER(L96)), J96*L96, 0)</f>
      </c>
      <c r="N96" s="19">
        <f>IF(AND(ISNUMBER(J96),ISNUMBER(L96)), (J96*L96)-J96, 0)</f>
      </c>
      <c r="O96" s="22">
        <f>IF(H96="Ganada", M96-J96, IF(H96="Perdida", -J96, IF(OR(H96="Cancelada",H96="Reembolsada",H96="Pendiente"), 0, 0)))</f>
      </c>
      <c r="P96" s="19">
        <f>IF(H96="Pendiente", I96, IF(ISNUMBER(I96), I96+O96, I96))</f>
      </c>
      <c r="Q96" s="20">
        <f>IF(AND(ISNUMBER(J96),J96&gt;0), O96/J96, 0)</f>
      </c>
      <c r="R96" s="20">
        <f>IF(AND(ISNUMBER(I96),I96&gt;0,ISNUMBER(J96)), J96/I96, 0)</f>
      </c>
      <c r="S96" s="22">
        <f>IF(ISNUMBER(O96), SUM($O$6:O96), 0)</f>
      </c>
      <c r="T96" s="16">
        <f>IF(ISBLANK(H96), "", IF(R96&gt;GESTION_BANCA!$C$6, "🔴 EXCESO RIESGO", IF(R96&gt;GESTION_BANCA!$C$7, "🟡 PRECAUCIÓN", "🟢 DENTRO LÍMITE")))</f>
      </c>
      <c r="U96" s="17"/>
    </row>
    <row r="97" spans="1:21" x14ac:dyDescent="0.25">
      <c r="A97" s="16" t="s">
        <v>223</v>
      </c>
      <c r="B97" s="16"/>
      <c r="C97" s="16"/>
      <c r="D97" s="17"/>
      <c r="E97" s="17"/>
      <c r="F97" s="17"/>
      <c r="G97" s="17"/>
      <c r="H97" s="16"/>
      <c r="I97" s="19">
        <f>P96</f>
      </c>
      <c r="J97" s="19"/>
      <c r="K97" s="20">
        <f>IF(AND(ISNUMBER(I97),I97&gt;0,ISNUMBER(J97)), J97/I97, 0)</f>
      </c>
      <c r="L97" s="21"/>
      <c r="M97" s="19">
        <f>IF(AND(ISNUMBER(J97),ISNUMBER(L97)), J97*L97, 0)</f>
      </c>
      <c r="N97" s="19">
        <f>IF(AND(ISNUMBER(J97),ISNUMBER(L97)), (J97*L97)-J97, 0)</f>
      </c>
      <c r="O97" s="22">
        <f>IF(H97="Ganada", M97-J97, IF(H97="Perdida", -J97, IF(OR(H97="Cancelada",H97="Reembolsada",H97="Pendiente"), 0, 0)))</f>
      </c>
      <c r="P97" s="19">
        <f>IF(H97="Pendiente", I97, IF(ISNUMBER(I97), I97+O97, I97))</f>
      </c>
      <c r="Q97" s="20">
        <f>IF(AND(ISNUMBER(J97),J97&gt;0), O97/J97, 0)</f>
      </c>
      <c r="R97" s="20">
        <f>IF(AND(ISNUMBER(I97),I97&gt;0,ISNUMBER(J97)), J97/I97, 0)</f>
      </c>
      <c r="S97" s="22">
        <f>IF(ISNUMBER(O97), SUM($O$6:O97), 0)</f>
      </c>
      <c r="T97" s="16">
        <f>IF(ISBLANK(H97), "", IF(R97&gt;GESTION_BANCA!$C$6, "🔴 EXCESO RIESGO", IF(R97&gt;GESTION_BANCA!$C$7, "🟡 PRECAUCIÓN", "🟢 DENTRO LÍMITE")))</f>
      </c>
      <c r="U97" s="17"/>
    </row>
    <row r="98" spans="1:21" x14ac:dyDescent="0.25">
      <c r="A98" s="16" t="s">
        <v>224</v>
      </c>
      <c r="B98" s="16"/>
      <c r="C98" s="16"/>
      <c r="D98" s="17"/>
      <c r="E98" s="17"/>
      <c r="F98" s="17"/>
      <c r="G98" s="17"/>
      <c r="H98" s="16"/>
      <c r="I98" s="19">
        <f>P97</f>
      </c>
      <c r="J98" s="19"/>
      <c r="K98" s="20">
        <f>IF(AND(ISNUMBER(I98),I98&gt;0,ISNUMBER(J98)), J98/I98, 0)</f>
      </c>
      <c r="L98" s="21"/>
      <c r="M98" s="19">
        <f>IF(AND(ISNUMBER(J98),ISNUMBER(L98)), J98*L98, 0)</f>
      </c>
      <c r="N98" s="19">
        <f>IF(AND(ISNUMBER(J98),ISNUMBER(L98)), (J98*L98)-J98, 0)</f>
      </c>
      <c r="O98" s="22">
        <f>IF(H98="Ganada", M98-J98, IF(H98="Perdida", -J98, IF(OR(H98="Cancelada",H98="Reembolsada",H98="Pendiente"), 0, 0)))</f>
      </c>
      <c r="P98" s="19">
        <f>IF(H98="Pendiente", I98, IF(ISNUMBER(I98), I98+O98, I98))</f>
      </c>
      <c r="Q98" s="20">
        <f>IF(AND(ISNUMBER(J98),J98&gt;0), O98/J98, 0)</f>
      </c>
      <c r="R98" s="20">
        <f>IF(AND(ISNUMBER(I98),I98&gt;0,ISNUMBER(J98)), J98/I98, 0)</f>
      </c>
      <c r="S98" s="22">
        <f>IF(ISNUMBER(O98), SUM($O$6:O98), 0)</f>
      </c>
      <c r="T98" s="16">
        <f>IF(ISBLANK(H98), "", IF(R98&gt;GESTION_BANCA!$C$6, "🔴 EXCESO RIESGO", IF(R98&gt;GESTION_BANCA!$C$7, "🟡 PRECAUCIÓN", "🟢 DENTRO LÍMITE")))</f>
      </c>
      <c r="U98" s="17"/>
    </row>
    <row r="99" spans="1:21" x14ac:dyDescent="0.25">
      <c r="A99" s="16" t="s">
        <v>225</v>
      </c>
      <c r="B99" s="16"/>
      <c r="C99" s="16"/>
      <c r="D99" s="17"/>
      <c r="E99" s="17"/>
      <c r="F99" s="17"/>
      <c r="G99" s="17"/>
      <c r="H99" s="16"/>
      <c r="I99" s="19">
        <f>P98</f>
      </c>
      <c r="J99" s="19"/>
      <c r="K99" s="20">
        <f>IF(AND(ISNUMBER(I99),I99&gt;0,ISNUMBER(J99)), J99/I99, 0)</f>
      </c>
      <c r="L99" s="21"/>
      <c r="M99" s="19">
        <f>IF(AND(ISNUMBER(J99),ISNUMBER(L99)), J99*L99, 0)</f>
      </c>
      <c r="N99" s="19">
        <f>IF(AND(ISNUMBER(J99),ISNUMBER(L99)), (J99*L99)-J99, 0)</f>
      </c>
      <c r="O99" s="22">
        <f>IF(H99="Ganada", M99-J99, IF(H99="Perdida", -J99, IF(OR(H99="Cancelada",H99="Reembolsada",H99="Pendiente"), 0, 0)))</f>
      </c>
      <c r="P99" s="19">
        <f>IF(H99="Pendiente", I99, IF(ISNUMBER(I99), I99+O99, I99))</f>
      </c>
      <c r="Q99" s="20">
        <f>IF(AND(ISNUMBER(J99),J99&gt;0), O99/J99, 0)</f>
      </c>
      <c r="R99" s="20">
        <f>IF(AND(ISNUMBER(I99),I99&gt;0,ISNUMBER(J99)), J99/I99, 0)</f>
      </c>
      <c r="S99" s="22">
        <f>IF(ISNUMBER(O99), SUM($O$6:O99), 0)</f>
      </c>
      <c r="T99" s="16">
        <f>IF(ISBLANK(H99), "", IF(R99&gt;GESTION_BANCA!$C$6, "🔴 EXCESO RIESGO", IF(R99&gt;GESTION_BANCA!$C$7, "🟡 PRECAUCIÓN", "🟢 DENTRO LÍMITE")))</f>
      </c>
      <c r="U99" s="17"/>
    </row>
    <row r="100" spans="1:21" x14ac:dyDescent="0.25">
      <c r="A100" s="16" t="s">
        <v>226</v>
      </c>
      <c r="B100" s="16"/>
      <c r="C100" s="16"/>
      <c r="D100" s="17"/>
      <c r="E100" s="17"/>
      <c r="F100" s="17"/>
      <c r="G100" s="17"/>
      <c r="H100" s="16"/>
      <c r="I100" s="19">
        <f>P99</f>
      </c>
      <c r="J100" s="19"/>
      <c r="K100" s="20">
        <f>IF(AND(ISNUMBER(I100),I100&gt;0,ISNUMBER(J100)), J100/I100, 0)</f>
      </c>
      <c r="L100" s="21"/>
      <c r="M100" s="19">
        <f>IF(AND(ISNUMBER(J100),ISNUMBER(L100)), J100*L100, 0)</f>
      </c>
      <c r="N100" s="19">
        <f>IF(AND(ISNUMBER(J100),ISNUMBER(L100)), (J100*L100)-J100, 0)</f>
      </c>
      <c r="O100" s="22">
        <f>IF(H100="Ganada", M100-J100, IF(H100="Perdida", -J100, IF(OR(H100="Cancelada",H100="Reembolsada",H100="Pendiente"), 0, 0)))</f>
      </c>
      <c r="P100" s="19">
        <f>IF(H100="Pendiente", I100, IF(ISNUMBER(I100), I100+O100, I100))</f>
      </c>
      <c r="Q100" s="20">
        <f>IF(AND(ISNUMBER(J100),J100&gt;0), O100/J100, 0)</f>
      </c>
      <c r="R100" s="20">
        <f>IF(AND(ISNUMBER(I100),I100&gt;0,ISNUMBER(J100)), J100/I100, 0)</f>
      </c>
      <c r="S100" s="22">
        <f>IF(ISNUMBER(O100), SUM($O$6:O100), 0)</f>
      </c>
      <c r="T100" s="16">
        <f>IF(ISBLANK(H100), "", IF(R100&gt;GESTION_BANCA!$C$6, "🔴 EXCESO RIESGO", IF(R100&gt;GESTION_BANCA!$C$7, "🟡 PRECAUCIÓN", "🟢 DENTRO LÍMITE")))</f>
      </c>
      <c r="U100" s="17"/>
    </row>
    <row r="101" spans="1:21" x14ac:dyDescent="0.25">
      <c r="A101" s="16" t="s">
        <v>227</v>
      </c>
      <c r="B101" s="16"/>
      <c r="C101" s="16"/>
      <c r="D101" s="17"/>
      <c r="E101" s="17"/>
      <c r="F101" s="17"/>
      <c r="G101" s="17"/>
      <c r="H101" s="16"/>
      <c r="I101" s="19">
        <f>P100</f>
      </c>
      <c r="J101" s="19"/>
      <c r="K101" s="20">
        <f>IF(AND(ISNUMBER(I101),I101&gt;0,ISNUMBER(J101)), J101/I101, 0)</f>
      </c>
      <c r="L101" s="21"/>
      <c r="M101" s="19">
        <f>IF(AND(ISNUMBER(J101),ISNUMBER(L101)), J101*L101, 0)</f>
      </c>
      <c r="N101" s="19">
        <f>IF(AND(ISNUMBER(J101),ISNUMBER(L101)), (J101*L101)-J101, 0)</f>
      </c>
      <c r="O101" s="22">
        <f>IF(H101="Ganada", M101-J101, IF(H101="Perdida", -J101, IF(OR(H101="Cancelada",H101="Reembolsada",H101="Pendiente"), 0, 0)))</f>
      </c>
      <c r="P101" s="19">
        <f>IF(H101="Pendiente", I101, IF(ISNUMBER(I101), I101+O101, I101))</f>
      </c>
      <c r="Q101" s="20">
        <f>IF(AND(ISNUMBER(J101),J101&gt;0), O101/J101, 0)</f>
      </c>
      <c r="R101" s="20">
        <f>IF(AND(ISNUMBER(I101),I101&gt;0,ISNUMBER(J101)), J101/I101, 0)</f>
      </c>
      <c r="S101" s="22">
        <f>IF(ISNUMBER(O101), SUM($O$6:O101), 0)</f>
      </c>
      <c r="T101" s="16">
        <f>IF(ISBLANK(H101), "", IF(R101&gt;GESTION_BANCA!$C$6, "🔴 EXCESO RIESGO", IF(R101&gt;GESTION_BANCA!$C$7, "🟡 PRECAUCIÓN", "🟢 DENTRO LÍMITE")))</f>
      </c>
      <c r="U101" s="17"/>
    </row>
    <row r="102" spans="1:21" x14ac:dyDescent="0.25">
      <c r="A102" s="16" t="s">
        <v>228</v>
      </c>
      <c r="B102" s="16"/>
      <c r="C102" s="16"/>
      <c r="D102" s="17"/>
      <c r="E102" s="17"/>
      <c r="F102" s="17"/>
      <c r="G102" s="17"/>
      <c r="H102" s="16"/>
      <c r="I102" s="19">
        <f>P101</f>
      </c>
      <c r="J102" s="19"/>
      <c r="K102" s="20">
        <f>IF(AND(ISNUMBER(I102),I102&gt;0,ISNUMBER(J102)), J102/I102, 0)</f>
      </c>
      <c r="L102" s="21"/>
      <c r="M102" s="19">
        <f>IF(AND(ISNUMBER(J102),ISNUMBER(L102)), J102*L102, 0)</f>
      </c>
      <c r="N102" s="19">
        <f>IF(AND(ISNUMBER(J102),ISNUMBER(L102)), (J102*L102)-J102, 0)</f>
      </c>
      <c r="O102" s="22">
        <f>IF(H102="Ganada", M102-J102, IF(H102="Perdida", -J102, IF(OR(H102="Cancelada",H102="Reembolsada",H102="Pendiente"), 0, 0)))</f>
      </c>
      <c r="P102" s="19">
        <f>IF(H102="Pendiente", I102, IF(ISNUMBER(I102), I102+O102, I102))</f>
      </c>
      <c r="Q102" s="20">
        <f>IF(AND(ISNUMBER(J102),J102&gt;0), O102/J102, 0)</f>
      </c>
      <c r="R102" s="20">
        <f>IF(AND(ISNUMBER(I102),I102&gt;0,ISNUMBER(J102)), J102/I102, 0)</f>
      </c>
      <c r="S102" s="22">
        <f>IF(ISNUMBER(O102), SUM($O$6:O102), 0)</f>
      </c>
      <c r="T102" s="16">
        <f>IF(ISBLANK(H102), "", IF(R102&gt;GESTION_BANCA!$C$6, "🔴 EXCESO RIESGO", IF(R102&gt;GESTION_BANCA!$C$7, "🟡 PRECAUCIÓN", "🟢 DENTRO LÍMITE")))</f>
      </c>
      <c r="U102" s="17"/>
    </row>
    <row r="103" spans="1:21" x14ac:dyDescent="0.25">
      <c r="A103" s="16" t="s">
        <v>229</v>
      </c>
      <c r="B103" s="16"/>
      <c r="C103" s="16"/>
      <c r="D103" s="17"/>
      <c r="E103" s="17"/>
      <c r="F103" s="17"/>
      <c r="G103" s="17"/>
      <c r="H103" s="16"/>
      <c r="I103" s="19">
        <f>P102</f>
      </c>
      <c r="J103" s="19"/>
      <c r="K103" s="20">
        <f>IF(AND(ISNUMBER(I103),I103&gt;0,ISNUMBER(J103)), J103/I103, 0)</f>
      </c>
      <c r="L103" s="21"/>
      <c r="M103" s="19">
        <f>IF(AND(ISNUMBER(J103),ISNUMBER(L103)), J103*L103, 0)</f>
      </c>
      <c r="N103" s="19">
        <f>IF(AND(ISNUMBER(J103),ISNUMBER(L103)), (J103*L103)-J103, 0)</f>
      </c>
      <c r="O103" s="22">
        <f>IF(H103="Ganada", M103-J103, IF(H103="Perdida", -J103, IF(OR(H103="Cancelada",H103="Reembolsada",H103="Pendiente"), 0, 0)))</f>
      </c>
      <c r="P103" s="19">
        <f>IF(H103="Pendiente", I103, IF(ISNUMBER(I103), I103+O103, I103))</f>
      </c>
      <c r="Q103" s="20">
        <f>IF(AND(ISNUMBER(J103),J103&gt;0), O103/J103, 0)</f>
      </c>
      <c r="R103" s="20">
        <f>IF(AND(ISNUMBER(I103),I103&gt;0,ISNUMBER(J103)), J103/I103, 0)</f>
      </c>
      <c r="S103" s="22">
        <f>IF(ISNUMBER(O103), SUM($O$6:O103), 0)</f>
      </c>
      <c r="T103" s="16">
        <f>IF(ISBLANK(H103), "", IF(R103&gt;GESTION_BANCA!$C$6, "🔴 EXCESO RIESGO", IF(R103&gt;GESTION_BANCA!$C$7, "🟡 PRECAUCIÓN", "🟢 DENTRO LÍMITE")))</f>
      </c>
      <c r="U103" s="17"/>
    </row>
    <row r="104" spans="1:21" x14ac:dyDescent="0.25">
      <c r="A104" s="16" t="s">
        <v>230</v>
      </c>
      <c r="B104" s="16"/>
      <c r="C104" s="16"/>
      <c r="D104" s="17"/>
      <c r="E104" s="17"/>
      <c r="F104" s="17"/>
      <c r="G104" s="17"/>
      <c r="H104" s="16"/>
      <c r="I104" s="19">
        <f>P103</f>
      </c>
      <c r="J104" s="19"/>
      <c r="K104" s="20">
        <f>IF(AND(ISNUMBER(I104),I104&gt;0,ISNUMBER(J104)), J104/I104, 0)</f>
      </c>
      <c r="L104" s="21"/>
      <c r="M104" s="19">
        <f>IF(AND(ISNUMBER(J104),ISNUMBER(L104)), J104*L104, 0)</f>
      </c>
      <c r="N104" s="19">
        <f>IF(AND(ISNUMBER(J104),ISNUMBER(L104)), (J104*L104)-J104, 0)</f>
      </c>
      <c r="O104" s="22">
        <f>IF(H104="Ganada", M104-J104, IF(H104="Perdida", -J104, IF(OR(H104="Cancelada",H104="Reembolsada",H104="Pendiente"), 0, 0)))</f>
      </c>
      <c r="P104" s="19">
        <f>IF(H104="Pendiente", I104, IF(ISNUMBER(I104), I104+O104, I104))</f>
      </c>
      <c r="Q104" s="20">
        <f>IF(AND(ISNUMBER(J104),J104&gt;0), O104/J104, 0)</f>
      </c>
      <c r="R104" s="20">
        <f>IF(AND(ISNUMBER(I104),I104&gt;0,ISNUMBER(J104)), J104/I104, 0)</f>
      </c>
      <c r="S104" s="22">
        <f>IF(ISNUMBER(O104), SUM($O$6:O104), 0)</f>
      </c>
      <c r="T104" s="16">
        <f>IF(ISBLANK(H104), "", IF(R104&gt;GESTION_BANCA!$C$6, "🔴 EXCESO RIESGO", IF(R104&gt;GESTION_BANCA!$C$7, "🟡 PRECAUCIÓN", "🟢 DENTRO LÍMITE")))</f>
      </c>
      <c r="U104" s="17"/>
    </row>
    <row r="105" spans="1:21" x14ac:dyDescent="0.25">
      <c r="A105" s="16" t="s">
        <v>231</v>
      </c>
      <c r="B105" s="16"/>
      <c r="C105" s="16"/>
      <c r="D105" s="17"/>
      <c r="E105" s="17"/>
      <c r="F105" s="17"/>
      <c r="G105" s="17"/>
      <c r="H105" s="16"/>
      <c r="I105" s="19">
        <f>P104</f>
      </c>
      <c r="J105" s="19"/>
      <c r="K105" s="20">
        <f>IF(AND(ISNUMBER(I105),I105&gt;0,ISNUMBER(J105)), J105/I105, 0)</f>
      </c>
      <c r="L105" s="21"/>
      <c r="M105" s="19">
        <f>IF(AND(ISNUMBER(J105),ISNUMBER(L105)), J105*L105, 0)</f>
      </c>
      <c r="N105" s="19">
        <f>IF(AND(ISNUMBER(J105),ISNUMBER(L105)), (J105*L105)-J105, 0)</f>
      </c>
      <c r="O105" s="22">
        <f>IF(H105="Ganada", M105-J105, IF(H105="Perdida", -J105, IF(OR(H105="Cancelada",H105="Reembolsada",H105="Pendiente"), 0, 0)))</f>
      </c>
      <c r="P105" s="19">
        <f>IF(H105="Pendiente", I105, IF(ISNUMBER(I105), I105+O105, I105))</f>
      </c>
      <c r="Q105" s="20">
        <f>IF(AND(ISNUMBER(J105),J105&gt;0), O105/J105, 0)</f>
      </c>
      <c r="R105" s="20">
        <f>IF(AND(ISNUMBER(I105),I105&gt;0,ISNUMBER(J105)), J105/I105, 0)</f>
      </c>
      <c r="S105" s="22">
        <f>IF(ISNUMBER(O105), SUM($O$6:O105), 0)</f>
      </c>
      <c r="T105" s="16">
        <f>IF(ISBLANK(H105), "", IF(R105&gt;GESTION_BANCA!$C$6, "🔴 EXCESO RIESGO", IF(R105&gt;GESTION_BANCA!$C$7, "🟡 PRECAUCIÓN", "🟢 DENTRO LÍMITE")))</f>
      </c>
      <c r="U105" s="17"/>
    </row>
  </sheetData>
  <mergeCells count="2">
    <mergeCell ref="A2:U2"/>
    <mergeCell ref="A3:U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9"/>
  <sheetViews>
    <sheetView workbookViewId="0" zoomScale="100" zoomScaleNormal="100"/>
  </sheetViews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6" customWidth="1"/>
    <col min="5" max="5" width="34" customWidth="1"/>
    <col min="6" max="6" width="22" customWidth="1"/>
  </cols>
  <sheetData>
    <row r="2" ht="35" customHeight="1" spans="2:6" x14ac:dyDescent="0.25">
      <c r="B2" s="2" t="s">
        <v>232</v>
      </c>
      <c r="C2" s="2"/>
      <c r="D2" s="2"/>
      <c r="E2" s="2"/>
      <c r="F2" s="2"/>
    </row>
    <row r="4" spans="2:6" x14ac:dyDescent="0.25">
      <c r="B4" s="3" t="s">
        <v>233</v>
      </c>
      <c r="C4" s="3"/>
      <c r="E4" s="3" t="s">
        <v>234</v>
      </c>
      <c r="F4" s="3"/>
    </row>
    <row r="5" spans="2:6" x14ac:dyDescent="0.25">
      <c r="B5" s="8" t="s">
        <v>235</v>
      </c>
      <c r="C5" s="9">
        <f>GESTION_BANCA!C4</f>
      </c>
      <c r="E5" s="8" t="s">
        <v>236</v>
      </c>
      <c r="F5" s="25">
        <f>COUNTIF(REGISTRO_OPERACIONES!H6:H1000, "&lt;&gt;")</f>
      </c>
    </row>
    <row r="6" spans="2:6" x14ac:dyDescent="0.25">
      <c r="B6" s="8" t="s">
        <v>237</v>
      </c>
      <c r="C6" s="9">
        <f>GESTION_BANCA!C4+SUM(REGISTRO_OPERACIONES!O6:O1000)</f>
      </c>
      <c r="E6" s="8" t="s">
        <v>238</v>
      </c>
      <c r="F6" s="25">
        <f>COUNTIF(REGISTRO_OPERACIONES!H6:H1000, "Ganada")</f>
      </c>
    </row>
    <row r="7" spans="2:6" x14ac:dyDescent="0.25">
      <c r="B7" s="8" t="s">
        <v>239</v>
      </c>
      <c r="C7" s="26">
        <f>SUM(REGISTRO_OPERACIONES!O6:O1000)</f>
      </c>
      <c r="E7" s="8" t="s">
        <v>240</v>
      </c>
      <c r="F7" s="25">
        <f>COUNTIF(REGISTRO_OPERACIONES!H6:H1000, "Perdida")</f>
      </c>
    </row>
    <row r="8" spans="2:6" x14ac:dyDescent="0.25">
      <c r="B8" s="8" t="s">
        <v>241</v>
      </c>
      <c r="C8" s="9">
        <f>SUMIF(REGISTRO_OPERACIONES!O6:O1000, "&gt;0")</f>
      </c>
      <c r="E8" s="8" t="s">
        <v>242</v>
      </c>
      <c r="F8" s="25">
        <f>COUNTIF(REGISTRO_OPERACIONES!H6:H1000, "Pendiente")</f>
      </c>
    </row>
    <row r="9" spans="2:6" x14ac:dyDescent="0.25">
      <c r="B9" s="8" t="s">
        <v>243</v>
      </c>
      <c r="C9" s="26">
        <f>SUMIF(REGISTRO_OPERACIONES!O6:O1000, "&lt;0")</f>
      </c>
      <c r="E9" s="8" t="s">
        <v>244</v>
      </c>
      <c r="F9" s="12">
        <f>IF((F6+F7)&gt;0, F6/(F6+F7), 0)</f>
      </c>
    </row>
    <row r="10" spans="2:6" x14ac:dyDescent="0.25">
      <c r="B10" s="8" t="s">
        <v>245</v>
      </c>
      <c r="C10" s="12">
        <f>IF(SUM(REGISTRO_OPERACIONES!J6:J1000)&gt;0, SUM(REGISTRO_OPERACIONES!O6:O1000)/SUM(REGISTRO_OPERACIONES!J6:J1000), 0)</f>
      </c>
      <c r="E10" s="8" t="s">
        <v>246</v>
      </c>
      <c r="F10" s="13">
        <f>AVERAGE(REGISTRO_OPERACIONES!L6:L1000)</f>
      </c>
    </row>
    <row r="11" spans="2:6" x14ac:dyDescent="0.25">
      <c r="B11" s="8" t="s">
        <v>247</v>
      </c>
      <c r="C11" s="12">
        <f>IF(GESTION_BANCA!C4&gt;0, SUM(REGISTRO_OPERACIONES!O6:O1000)/GESTION_BANCA!C4, 0)</f>
      </c>
      <c r="E11" s="8" t="s">
        <v>248</v>
      </c>
      <c r="F11" s="9">
        <f>AVERAGE(REGISTRO_OPERACIONES!J6:J1000)</f>
      </c>
    </row>
    <row r="13" spans="2:6" x14ac:dyDescent="0.25">
      <c r="B13" s="3" t="s">
        <v>249</v>
      </c>
      <c r="C13" s="3"/>
      <c r="E13" s="3" t="s">
        <v>250</v>
      </c>
      <c r="F13" s="3"/>
    </row>
    <row r="14" spans="2:6" x14ac:dyDescent="0.25">
      <c r="B14" s="8" t="s">
        <v>251</v>
      </c>
      <c r="C14" s="9">
        <f>MAX(REGISTRO_OPERACIONES!O6:O1000)</f>
      </c>
      <c r="E14" s="8" t="s">
        <v>252</v>
      </c>
      <c r="F14" s="9">
        <f>SUMIF(REGISTRO_OPERACIONES!H6:H1000, "Pendiente", REGISTRO_OPERACIONES!J6:J1000)</f>
      </c>
    </row>
    <row r="15" spans="2:6" x14ac:dyDescent="0.25">
      <c r="B15" s="8" t="s">
        <v>253</v>
      </c>
      <c r="C15" s="26">
        <f>MIN(REGISTRO_OPERACIONES!O6:O1000)</f>
      </c>
      <c r="E15" s="8" t="s">
        <v>254</v>
      </c>
      <c r="F15" s="9">
        <f>C6-F14</f>
      </c>
    </row>
    <row r="16" spans="2:6" x14ac:dyDescent="0.25">
      <c r="B16" s="8" t="s">
        <v>255</v>
      </c>
      <c r="C16" s="12">
        <f>ESTADISTICAS_AVANZADAS!C13</f>
      </c>
      <c r="E16" s="8" t="s">
        <v>256</v>
      </c>
      <c r="F16" s="12">
        <f>IF(C6&gt;0, F14/C6, 0)</f>
      </c>
    </row>
    <row r="17" spans="2:6" x14ac:dyDescent="0.25">
      <c r="B17" s="8" t="s">
        <v>257</v>
      </c>
      <c r="C17" s="13">
        <f>IF(ABS(C9)&gt;0, C8/ABS(C9), C8)</f>
      </c>
      <c r="E17" s="8" t="s">
        <v>258</v>
      </c>
      <c r="F17" s="12">
        <f>GESTION_BANCA!C8</f>
      </c>
    </row>
    <row r="18" spans="2:6" x14ac:dyDescent="0.25">
      <c r="B18" s="8" t="s">
        <v>259</v>
      </c>
      <c r="C18" s="26">
        <f>ESTADISTICAS_AVANZADAS!C15</f>
      </c>
      <c r="E18" s="8" t="s">
        <v>260</v>
      </c>
      <c r="F18" s="11">
        <f>IF(C6&lt;GESTION_BANCA!C5, "🔴 NIVEL DE SEGURIDAD VULNERADO", IF(F16&gt;F17, "🟡 EXPOSICIÓN ELEVADA", "🟢 BANCA EN CONDICIONES ÓPTIMAS"))</f>
      </c>
    </row>
    <row r="19" spans="2:6" x14ac:dyDescent="0.25">
      <c r="B19" s="8" t="s">
        <v>261</v>
      </c>
      <c r="C19" s="12">
        <f>AVERAGE(REGISTRO_OPERACIONES!R6:R1000)</f>
      </c>
      <c r="E19" s="8" t="s">
        <v>262</v>
      </c>
      <c r="F19" s="25">
        <f>COUNTIF(REGISTRO_OPERACIONES!T6:T1000, "🔴 EXCESO RIESGO")</f>
      </c>
    </row>
  </sheetData>
  <mergeCells count="5">
    <mergeCell ref="B2:F2"/>
    <mergeCell ref="B4:C4"/>
    <mergeCell ref="E4:F4"/>
    <mergeCell ref="B13:C13"/>
    <mergeCell ref="E13:F1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6"/>
  <sheetViews>
    <sheetView workbookViewId="0" zoomScale="100" zoomScaleNormal="100"/>
  </sheetViews>
  <sheetFormatPr defaultRowHeight="15" outlineLevelRow="0" outlineLevelCol="0" x14ac:dyDescent="55"/>
  <cols>
    <col min="1" max="1" width="4" customWidth="1"/>
    <col min="2" max="2" width="22" customWidth="1"/>
    <col min="3" max="5" width="16" customWidth="1"/>
    <col min="6" max="7" width="14" customWidth="1"/>
    <col min="8" max="8" width="15" customWidth="1"/>
    <col min="9" max="9" width="14" customWidth="1"/>
  </cols>
  <sheetData>
    <row r="2" ht="35" customHeight="1" spans="2:9" x14ac:dyDescent="0.25">
      <c r="B2" s="2" t="s">
        <v>263</v>
      </c>
      <c r="C2" s="2"/>
      <c r="D2" s="2"/>
      <c r="E2" s="2"/>
      <c r="F2" s="2"/>
      <c r="G2" s="2"/>
      <c r="H2" s="2"/>
      <c r="I2" s="2"/>
    </row>
    <row r="4" spans="2:9" x14ac:dyDescent="0.25">
      <c r="B4" s="3" t="s">
        <v>264</v>
      </c>
      <c r="C4" s="3"/>
      <c r="D4" s="3"/>
      <c r="E4" s="3"/>
      <c r="F4" s="3"/>
      <c r="G4" s="3"/>
      <c r="H4" s="3"/>
      <c r="I4" s="3"/>
    </row>
    <row r="5" spans="2:10" x14ac:dyDescent="0.25">
      <c r="B5" s="1" t="s">
        <v>265</v>
      </c>
      <c r="C5" s="1" t="s">
        <v>266</v>
      </c>
      <c r="D5" s="1" t="s">
        <v>267</v>
      </c>
      <c r="E5" s="1" t="s">
        <v>268</v>
      </c>
      <c r="F5" s="1" t="s">
        <v>269</v>
      </c>
      <c r="G5" s="1" t="s">
        <v>270</v>
      </c>
      <c r="H5" s="1" t="s">
        <v>271</v>
      </c>
      <c r="I5" s="1" t="s">
        <v>272</v>
      </c>
      <c r="J5" s="1" t="s">
        <v>273</v>
      </c>
    </row>
    <row r="6" spans="2:10" x14ac:dyDescent="0.25">
      <c r="B6" s="27" t="s">
        <v>97</v>
      </c>
      <c r="C6" s="28">
        <v>20</v>
      </c>
      <c r="D6" s="28">
        <v>17</v>
      </c>
      <c r="E6" s="29">
        <v>0</v>
      </c>
      <c r="F6" s="29">
        <f>D6+E6</f>
      </c>
      <c r="G6" s="30">
        <f>IF(C6&gt;0, F6/C6, 0)</f>
      </c>
      <c r="H6" s="31">
        <v>1</v>
      </c>
      <c r="I6" s="30">
        <v>1</v>
      </c>
      <c r="J6" s="32">
        <v>1.85</v>
      </c>
    </row>
    <row r="7" spans="2:10" x14ac:dyDescent="0.25">
      <c r="B7" s="27" t="s">
        <v>102</v>
      </c>
      <c r="C7" s="28">
        <v>20</v>
      </c>
      <c r="D7" s="28">
        <v>22</v>
      </c>
      <c r="E7" s="29">
        <v>0</v>
      </c>
      <c r="F7" s="29">
        <f>D7+E7</f>
      </c>
      <c r="G7" s="30">
        <f>IF(C7&gt;0, F7/C7, 0)</f>
      </c>
      <c r="H7" s="31">
        <v>1</v>
      </c>
      <c r="I7" s="30">
        <v>1</v>
      </c>
      <c r="J7" s="32">
        <v>2.1</v>
      </c>
    </row>
    <row r="8" spans="2:10" x14ac:dyDescent="0.25">
      <c r="B8" s="27" t="s">
        <v>107</v>
      </c>
      <c r="C8" s="28">
        <v>20</v>
      </c>
      <c r="D8" s="28">
        <v>0</v>
      </c>
      <c r="E8" s="29">
        <v>-20</v>
      </c>
      <c r="F8" s="29">
        <f>D8+E8</f>
      </c>
      <c r="G8" s="30">
        <f>IF(C8&gt;0, F8/C8, 0)</f>
      </c>
      <c r="H8" s="31">
        <v>1</v>
      </c>
      <c r="I8" s="30">
        <v>0</v>
      </c>
      <c r="J8" s="32">
        <v>1.9</v>
      </c>
    </row>
    <row r="9" spans="2:10" x14ac:dyDescent="0.25">
      <c r="B9" s="27" t="s">
        <v>112</v>
      </c>
      <c r="C9" s="28">
        <v>20</v>
      </c>
      <c r="D9" s="28">
        <v>21</v>
      </c>
      <c r="E9" s="29">
        <v>0</v>
      </c>
      <c r="F9" s="29">
        <f>D9+E9</f>
      </c>
      <c r="G9" s="30">
        <f>IF(C9&gt;0, F9/C9, 0)</f>
      </c>
      <c r="H9" s="31">
        <v>1</v>
      </c>
      <c r="I9" s="30">
        <v>1</v>
      </c>
      <c r="J9" s="32">
        <v>2.05</v>
      </c>
    </row>
    <row r="10" spans="2:10" x14ac:dyDescent="0.25">
      <c r="B10" s="27" t="s">
        <v>117</v>
      </c>
      <c r="C10" s="28">
        <v>25</v>
      </c>
      <c r="D10" s="28">
        <v>30</v>
      </c>
      <c r="E10" s="29">
        <v>0</v>
      </c>
      <c r="F10" s="29">
        <f>D10+E10</f>
      </c>
      <c r="G10" s="30">
        <f>IF(C10&gt;0, F10/C10, 0)</f>
      </c>
      <c r="H10" s="31">
        <v>1</v>
      </c>
      <c r="I10" s="30">
        <v>1</v>
      </c>
      <c r="J10" s="32">
        <v>2.2</v>
      </c>
    </row>
    <row r="13" spans="2:9" x14ac:dyDescent="0.25">
      <c r="B13" s="3" t="s">
        <v>274</v>
      </c>
      <c r="C13" s="3"/>
      <c r="D13" s="3"/>
      <c r="E13" s="3"/>
      <c r="F13" s="3"/>
      <c r="G13" s="3"/>
      <c r="H13" s="3"/>
      <c r="I13" s="3"/>
    </row>
    <row r="14" spans="2:10" x14ac:dyDescent="0.25">
      <c r="B14" s="1" t="s">
        <v>265</v>
      </c>
      <c r="C14" s="1" t="s">
        <v>266</v>
      </c>
      <c r="D14" s="1" t="s">
        <v>267</v>
      </c>
      <c r="E14" s="1" t="s">
        <v>268</v>
      </c>
      <c r="F14" s="1" t="s">
        <v>269</v>
      </c>
      <c r="G14" s="1" t="s">
        <v>270</v>
      </c>
      <c r="H14" s="1" t="s">
        <v>271</v>
      </c>
      <c r="I14" s="1" t="s">
        <v>272</v>
      </c>
      <c r="J14" s="1" t="s">
        <v>273</v>
      </c>
    </row>
    <row r="15" spans="2:10" x14ac:dyDescent="0.25">
      <c r="B15" s="27" t="s">
        <v>275</v>
      </c>
      <c r="C15" s="28">
        <v>125</v>
      </c>
      <c r="D15" s="28">
        <v>90</v>
      </c>
      <c r="E15" s="29">
        <v>-40</v>
      </c>
      <c r="F15" s="29">
        <f>D15+E15</f>
      </c>
      <c r="G15" s="30">
        <f>IF(C15&gt;0, F15/C15, 0)</f>
      </c>
      <c r="H15" s="31">
        <v>7</v>
      </c>
      <c r="I15" s="30">
        <v>0.71</v>
      </c>
      <c r="J15" s="32">
        <v>1.98</v>
      </c>
    </row>
    <row r="16" spans="2:10" x14ac:dyDescent="0.25">
      <c r="B16" s="27" t="s">
        <v>276</v>
      </c>
      <c r="C16" s="28">
        <v>40</v>
      </c>
      <c r="D16" s="28">
        <v>23</v>
      </c>
      <c r="E16" s="29">
        <v>0</v>
      </c>
      <c r="F16" s="29">
        <f>D16+E16</f>
      </c>
      <c r="G16" s="30">
        <f>IF(C16&gt;0, F16/C16, 0)</f>
      </c>
      <c r="H16" s="31">
        <v>2</v>
      </c>
      <c r="I16" s="30">
        <v>1</v>
      </c>
      <c r="J16" s="32">
        <v>2.02</v>
      </c>
    </row>
    <row r="17" spans="2:10" x14ac:dyDescent="0.25">
      <c r="B17" s="27" t="s">
        <v>277</v>
      </c>
      <c r="C17" s="28">
        <v>0</v>
      </c>
      <c r="D17" s="28">
        <v>0</v>
      </c>
      <c r="E17" s="29">
        <v>0</v>
      </c>
      <c r="F17" s="29">
        <f>D17+E17</f>
      </c>
      <c r="G17" s="30">
        <f>IF(C17&gt;0, F17/C17, 0)</f>
      </c>
      <c r="H17" s="31">
        <v>0</v>
      </c>
      <c r="I17" s="30">
        <v>0</v>
      </c>
      <c r="J17" s="32">
        <v>0</v>
      </c>
    </row>
    <row r="18" spans="2:10" x14ac:dyDescent="0.25">
      <c r="B18" s="27" t="s">
        <v>278</v>
      </c>
      <c r="C18" s="28">
        <v>0</v>
      </c>
      <c r="D18" s="28">
        <v>0</v>
      </c>
      <c r="E18" s="29">
        <v>0</v>
      </c>
      <c r="F18" s="29">
        <f>D18+E18</f>
      </c>
      <c r="G18" s="30">
        <f>IF(C18&gt;0, F18/C18, 0)</f>
      </c>
      <c r="H18" s="31">
        <v>0</v>
      </c>
      <c r="I18" s="30">
        <v>0</v>
      </c>
      <c r="J18" s="32">
        <v>0</v>
      </c>
    </row>
    <row r="21" spans="2:9" x14ac:dyDescent="0.25">
      <c r="B21" s="3" t="s">
        <v>279</v>
      </c>
      <c r="C21" s="3"/>
      <c r="D21" s="3"/>
      <c r="E21" s="3"/>
      <c r="F21" s="3"/>
      <c r="G21" s="3"/>
      <c r="H21" s="3"/>
      <c r="I21" s="3"/>
    </row>
    <row r="22" spans="2:10" x14ac:dyDescent="0.25">
      <c r="B22" s="1" t="s">
        <v>265</v>
      </c>
      <c r="C22" s="1" t="s">
        <v>266</v>
      </c>
      <c r="D22" s="1" t="s">
        <v>267</v>
      </c>
      <c r="E22" s="1" t="s">
        <v>268</v>
      </c>
      <c r="F22" s="1" t="s">
        <v>269</v>
      </c>
      <c r="G22" s="1" t="s">
        <v>270</v>
      </c>
      <c r="H22" s="1" t="s">
        <v>271</v>
      </c>
      <c r="I22" s="1" t="s">
        <v>272</v>
      </c>
      <c r="J22" s="1" t="s">
        <v>273</v>
      </c>
    </row>
    <row r="23" spans="2:10" x14ac:dyDescent="0.25">
      <c r="B23" s="27" t="s">
        <v>280</v>
      </c>
      <c r="C23" s="28">
        <v>350</v>
      </c>
      <c r="D23" s="28">
        <v>240</v>
      </c>
      <c r="E23" s="29">
        <v>-160</v>
      </c>
      <c r="F23" s="29">
        <f>D23+E23</f>
      </c>
      <c r="G23" s="30">
        <f>IF(C23&gt;0, F23/C23, 0)</f>
      </c>
      <c r="H23" s="31">
        <v>18</v>
      </c>
      <c r="I23" s="30">
        <v>0.61</v>
      </c>
      <c r="J23" s="32">
        <v>1.92</v>
      </c>
    </row>
    <row r="24" spans="2:10" x14ac:dyDescent="0.25">
      <c r="B24" s="27" t="s">
        <v>281</v>
      </c>
      <c r="C24" s="28">
        <v>420</v>
      </c>
      <c r="D24" s="28">
        <v>310</v>
      </c>
      <c r="E24" s="29">
        <v>-180</v>
      </c>
      <c r="F24" s="29">
        <f>D24+E24</f>
      </c>
      <c r="G24" s="30">
        <f>IF(C24&gt;0, F24/C24, 0)</f>
      </c>
      <c r="H24" s="31">
        <v>21</v>
      </c>
      <c r="I24" s="30">
        <v>0.67</v>
      </c>
      <c r="J24" s="32">
        <v>1.95</v>
      </c>
    </row>
    <row r="25" spans="2:10" x14ac:dyDescent="0.25">
      <c r="B25" s="27" t="s">
        <v>282</v>
      </c>
      <c r="C25" s="28">
        <v>390</v>
      </c>
      <c r="D25" s="28">
        <v>280</v>
      </c>
      <c r="E25" s="29">
        <v>-200</v>
      </c>
      <c r="F25" s="29">
        <f>D25+E25</f>
      </c>
      <c r="G25" s="30">
        <f>IF(C25&gt;0, F25/C25, 0)</f>
      </c>
      <c r="H25" s="31">
        <v>20</v>
      </c>
      <c r="I25" s="30">
        <v>0.6</v>
      </c>
      <c r="J25" s="32">
        <v>1.9</v>
      </c>
    </row>
    <row r="26" spans="2:10" x14ac:dyDescent="0.25">
      <c r="B26" s="27" t="s">
        <v>283</v>
      </c>
      <c r="C26" s="28">
        <v>165</v>
      </c>
      <c r="D26" s="28">
        <v>113</v>
      </c>
      <c r="E26" s="29">
        <v>-40</v>
      </c>
      <c r="F26" s="29">
        <f>D26+E26</f>
      </c>
      <c r="G26" s="30">
        <f>IF(C26&gt;0, F26/C26, 0)</f>
      </c>
      <c r="H26" s="31">
        <v>9</v>
      </c>
      <c r="I26" s="30">
        <v>0.78</v>
      </c>
      <c r="J26" s="32">
        <v>2</v>
      </c>
    </row>
  </sheetData>
  <mergeCells count="4">
    <mergeCell ref="B2:I2"/>
    <mergeCell ref="B4:I4"/>
    <mergeCell ref="B13:I13"/>
    <mergeCell ref="B21:I2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6"/>
  <sheetViews>
    <sheetView workbookViewId="0" zoomScale="100" zoomScaleNormal="100"/>
  </sheetViews>
  <sheetFormatPr defaultRowHeight="15" outlineLevelRow="0" outlineLevelCol="0" x14ac:dyDescent="55"/>
  <cols>
    <col min="1" max="1" width="4" customWidth="1"/>
    <col min="2" max="2" width="38" customWidth="1"/>
    <col min="3" max="3" width="22" customWidth="1"/>
    <col min="4" max="4" width="45" customWidth="1"/>
  </cols>
  <sheetData>
    <row r="2" ht="35" customHeight="1" spans="2:4" x14ac:dyDescent="0.25">
      <c r="B2" s="2" t="s">
        <v>284</v>
      </c>
      <c r="C2" s="2"/>
      <c r="D2" s="2"/>
    </row>
    <row r="4" spans="2:4" x14ac:dyDescent="0.25">
      <c r="B4" s="8" t="s">
        <v>285</v>
      </c>
      <c r="C4" s="12">
        <f>DASHBOARD!F9</f>
      </c>
      <c r="D4" s="10" t="s">
        <v>286</v>
      </c>
    </row>
    <row r="5" spans="2:4" x14ac:dyDescent="0.25">
      <c r="B5" s="8" t="s">
        <v>287</v>
      </c>
      <c r="C5" s="12">
        <f>1-C4</f>
      </c>
      <c r="D5" s="10" t="s">
        <v>288</v>
      </c>
    </row>
    <row r="6" spans="2:4" x14ac:dyDescent="0.25">
      <c r="B6" s="8" t="s">
        <v>289</v>
      </c>
      <c r="C6" s="13">
        <f>DASHBOARD!F10</f>
      </c>
      <c r="D6" s="10" t="s">
        <v>290</v>
      </c>
    </row>
    <row r="7" spans="2:4" x14ac:dyDescent="0.25">
      <c r="B7" s="8" t="s">
        <v>291</v>
      </c>
      <c r="C7" s="26">
        <f>AVERAGE(REGISTRO_OPERACIONES!O6:O1000)</f>
      </c>
      <c r="D7" s="10" t="s">
        <v>292</v>
      </c>
    </row>
    <row r="8" spans="2:4" x14ac:dyDescent="0.25">
      <c r="B8" s="8" t="s">
        <v>293</v>
      </c>
      <c r="C8" s="9">
        <f>AVERAGEIF(REGISTRO_OPERACIONES!H6:H1000, "Ganada", REGISTRO_OPERACIONES!O6:O1000)</f>
      </c>
      <c r="D8" s="10" t="s">
        <v>294</v>
      </c>
    </row>
    <row r="9" spans="2:4" x14ac:dyDescent="0.25">
      <c r="B9" s="8" t="s">
        <v>295</v>
      </c>
      <c r="C9" s="26">
        <f>AVERAGEIF(REGISTRO_OPERACIONES!H6:H1000, "Perdida", REGISTRO_OPERACIONES!O6:O1000)</f>
      </c>
      <c r="D9" s="10" t="s">
        <v>296</v>
      </c>
    </row>
    <row r="10" spans="2:4" x14ac:dyDescent="0.25">
      <c r="B10" s="8" t="s">
        <v>297</v>
      </c>
      <c r="C10" s="13">
        <f>IF(ABS(C9)&gt;0, C8/ABS(C9), 0)</f>
      </c>
      <c r="D10" s="10" t="s">
        <v>298</v>
      </c>
    </row>
    <row r="11" spans="2:4" x14ac:dyDescent="0.25">
      <c r="B11" s="8" t="s">
        <v>299</v>
      </c>
      <c r="C11" s="25">
        <v>5</v>
      </c>
      <c r="D11" s="10" t="s">
        <v>300</v>
      </c>
    </row>
    <row r="12" spans="2:4" x14ac:dyDescent="0.25">
      <c r="B12" s="8" t="s">
        <v>301</v>
      </c>
      <c r="C12" s="25">
        <v>2</v>
      </c>
      <c r="D12" s="10" t="s">
        <v>302</v>
      </c>
    </row>
    <row r="13" spans="2:4" x14ac:dyDescent="0.25">
      <c r="B13" s="8" t="s">
        <v>255</v>
      </c>
      <c r="C13" s="12">
        <v>0.08</v>
      </c>
      <c r="D13" s="10" t="s">
        <v>303</v>
      </c>
    </row>
    <row r="14" spans="2:4" x14ac:dyDescent="0.25">
      <c r="B14" s="8" t="s">
        <v>304</v>
      </c>
      <c r="C14" s="13">
        <f>IF(C13&gt;0, (DASHBOARD!C7/GESTION_BANCA!C4)/C13, 0)</f>
      </c>
      <c r="D14" s="10" t="s">
        <v>305</v>
      </c>
    </row>
    <row r="15" spans="2:4" x14ac:dyDescent="0.25">
      <c r="B15" s="8" t="s">
        <v>259</v>
      </c>
      <c r="C15" s="26">
        <f>(C4*C8) - (C5*ABS(C9))</f>
      </c>
      <c r="D15" s="10" t="s">
        <v>306</v>
      </c>
    </row>
    <row r="16" spans="2:4" x14ac:dyDescent="0.25">
      <c r="B16" s="8" t="s">
        <v>307</v>
      </c>
      <c r="C16" s="9">
        <f>STDEV(REGISTRO_OPERACIONES!O6:O1000)</f>
      </c>
      <c r="D16" s="10" t="s">
        <v>308</v>
      </c>
    </row>
  </sheetData>
  <mergeCells count="1">
    <mergeCell ref="B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"/>
  <sheetViews>
    <sheetView workbookViewId="0" zoomScale="100" zoomScaleNormal="100"/>
  </sheetViews>
  <sheetFormatPr defaultRowHeight="15" outlineLevelRow="0" outlineLevelCol="0" x14ac:dyDescent="55"/>
  <cols>
    <col min="1" max="1" width="4" customWidth="1"/>
    <col min="2" max="2" width="38" customWidth="1"/>
    <col min="3" max="3" width="22" customWidth="1"/>
    <col min="4" max="4" width="45" customWidth="1"/>
  </cols>
  <sheetData>
    <row r="2" ht="35" customHeight="1" spans="2:4" x14ac:dyDescent="0.25">
      <c r="B2" s="2" t="s">
        <v>309</v>
      </c>
      <c r="C2" s="2"/>
      <c r="D2" s="2"/>
    </row>
    <row r="4" spans="2:4" x14ac:dyDescent="0.25">
      <c r="B4" s="8" t="s">
        <v>310</v>
      </c>
      <c r="C4" s="25">
        <f>DASHBOARD!F5</f>
      </c>
      <c r="D4" s="10" t="s">
        <v>311</v>
      </c>
    </row>
    <row r="5" spans="2:4" x14ac:dyDescent="0.25">
      <c r="B5" s="8" t="s">
        <v>312</v>
      </c>
      <c r="C5" s="25">
        <f>COUNTIF(REGISTRO_OPERACIONES!T6:T1000, "🟢 DENTRO LÍMITE")</f>
      </c>
      <c r="D5" s="10" t="s">
        <v>313</v>
      </c>
    </row>
    <row r="6" spans="2:4" x14ac:dyDescent="0.25">
      <c r="B6" s="8" t="s">
        <v>314</v>
      </c>
      <c r="C6" s="25">
        <f>COUNTIF(REGISTRO_OPERACIONES!T6:T1000, "🟡 PRECAUCIÓN")</f>
      </c>
      <c r="D6" s="10" t="s">
        <v>315</v>
      </c>
    </row>
    <row r="7" spans="2:4" x14ac:dyDescent="0.25">
      <c r="B7" s="8" t="s">
        <v>316</v>
      </c>
      <c r="C7" s="25">
        <f>COUNTIF(REGISTRO_OPERACIONES!T6:T1000, "🔴 EXCESO RIESGO")</f>
      </c>
      <c r="D7" s="10" t="s">
        <v>317</v>
      </c>
    </row>
    <row r="8" spans="2:4" x14ac:dyDescent="0.25">
      <c r="B8" s="8" t="s">
        <v>318</v>
      </c>
      <c r="C8" s="12">
        <f>IF(C4&gt;0, C5/C4, 1)</f>
      </c>
      <c r="D8" s="10" t="s">
        <v>319</v>
      </c>
    </row>
    <row r="9" spans="2:4" x14ac:dyDescent="0.25">
      <c r="B9" s="8" t="s">
        <v>320</v>
      </c>
      <c r="C9" s="25">
        <v>0</v>
      </c>
      <c r="D9" s="10" t="s">
        <v>321</v>
      </c>
    </row>
    <row r="10" spans="2:4" x14ac:dyDescent="0.25">
      <c r="B10" s="8" t="s">
        <v>322</v>
      </c>
      <c r="C10" s="11" t="s">
        <v>323</v>
      </c>
      <c r="D10" s="10" t="s">
        <v>324</v>
      </c>
    </row>
    <row r="11" spans="2:4" x14ac:dyDescent="0.25">
      <c r="B11" s="8" t="s">
        <v>325</v>
      </c>
      <c r="C11" s="11">
        <f>IF(C7&gt;0, "🔴 PLAN VULNERADO: Reducir tamaño de posición", IF(C8&lt;0.85, "🟡 PRECAUCIÓN: Mejorar consistencia", "🟢 EXCELENTE: Disciplina estricta"))</f>
      </c>
      <c r="D11" s="10" t="s">
        <v>326</v>
      </c>
    </row>
  </sheetData>
  <mergeCells count="1">
    <mergeCell ref="B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CONFIGURACION_LISTAS</vt:lpstr>
      <vt:lpstr>GESTION_BANCA</vt:lpstr>
      <vt:lpstr>CALCULADORA</vt:lpstr>
      <vt:lpstr>REGISTRO_OPERACIONES</vt:lpstr>
      <vt:lpstr>DASHBOARD</vt:lpstr>
      <vt:lpstr>CONTROL_PERIODOS</vt:lpstr>
      <vt:lpstr>ESTADISTICAS_AVANZADAS</vt:lpstr>
      <vt:lpstr>CONTROL_DISCIPLINA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Especialista en Gestión Financiera y Control de Riesgo</dc:creator>
  <dc:title/>
  <dc:subject/>
  <dc:description/>
  <cp:keywords/>
  <cp:category/>
  <cp:lastModifiedBy>Especialista en Gestión Financiera y Control de Riesgo</cp:lastModifiedBy>
  <dcterms:created xsi:type="dcterms:W3CDTF">2026-09-01T00:58:25Z</dcterms:created>
  <dcterms:modified xsi:type="dcterms:W3CDTF">2026-09-01T00:58:25Z</dcterms:modified>
</cp:coreProperties>
</file>